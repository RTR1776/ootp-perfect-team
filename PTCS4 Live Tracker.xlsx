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<sst xmlns="http://schemas.openxmlformats.org/spreadsheetml/2006/main" count="58" uniqueCount="52">
  <si>
    <t xml:space="preserve">PTCS 4 Qualifying — Live Tracker (KC Torrent / RTR1776)</t>
  </si>
  <si>
    <t xml:space="preserve">Period Jun 1 – Jul 12 (extended). Qualify = top 128. Baseline = standings when we started logging; Earned = from Daily Log.</t>
  </si>
  <si>
    <t xml:space="preserve">Category</t>
  </si>
  <si>
    <t xml:space="preserve">Baseline</t>
  </si>
  <si>
    <t xml:space="preserve">Earned</t>
  </si>
  <si>
    <t xml:space="preserve">Total</t>
  </si>
  <si>
    <t xml:space="preserve">128th (verified)</t>
  </si>
  <si>
    <t xml:space="preserve">Gap now</t>
  </si>
  <si>
    <t xml:space="preserve">Qualify est.</t>
  </si>
  <si>
    <t xml:space="preserve">Gap to safe</t>
  </si>
  <si>
    <t xml:space="preserve">Status</t>
  </si>
  <si>
    <t xml:space="preserve">VERDICT</t>
  </si>
  <si>
    <t xml:space="preserve">Diamond</t>
  </si>
  <si>
    <t xml:space="preserve">LOCKED</t>
  </si>
  <si>
    <t xml:space="preserve">—</t>
  </si>
  <si>
    <t xml:space="preserve">IN — 10th (452)</t>
  </si>
  <si>
    <t xml:space="preserve">PDD (Draft)</t>
  </si>
  <si>
    <t xml:space="preserve">IN — 323 vs 276</t>
  </si>
  <si>
    <t xml:space="preserve">Live</t>
  </si>
  <si>
    <t xml:space="preserve">SHORT 19 to line (118)</t>
  </si>
  <si>
    <t xml:space="preserve">Open</t>
  </si>
  <si>
    <t xml:space="preserve">SHORT 68 (31)</t>
  </si>
  <si>
    <t xml:space="preserve">Cap</t>
  </si>
  <si>
    <t xml:space="preserve">SHORT 20 to line (113)</t>
  </si>
  <si>
    <t xml:space="preserve">Notes</t>
  </si>
  <si>
    <t xml:space="preserve">• FOCUS: all five live this week — Diamond (Stars) + PDD + Open + Cap + Live. League play tracked separately (PTWC path).</t>
  </si>
  <si>
    <t xml:space="preserve">• Cap is double-fed: Diamond+Cap (Thu C4, Daily Diamond Cap) AND Open+Cap (Sun Open, Sat NeL, Mon Gold Floor Cap).</t>
  </si>
  <si>
    <t xml:space="preserve">• Totals rebuilt by scoring all 76 tournaments in the screenshots + your last-Sunday standings. Exact, not estimates.</t>
  </si>
  <si>
    <t xml:space="preserve">• QUALIFIED: Diamond (10th, 452) and PDD (323 vs 276 line). Live (118) and Cap (113) sit ~19-20 UNDER the last-Sunday line.</t>
  </si>
  <si>
    <t xml:space="preserve">• Those lines have crept up since last Sunday AND today (Jul 5) is only partial — so keep playing: Open+Live+Cap slot games + Diamond+Cap games close Live &amp; Cap fastest.</t>
  </si>
  <si>
    <t xml:space="preserve">• Open (31) is far back (line 99) — not realistic today; focus the remaining hours on Live &amp; Cap.</t>
  </si>
  <si>
    <t xml:space="preserve">PTCS 4 — Daily Results Log</t>
  </si>
  <si>
    <t xml:space="preserve">Enter points earned per category each day. Dashboard sums these automatically.</t>
  </si>
  <si>
    <t xml:space="preserve">Date</t>
  </si>
  <si>
    <t xml:space="preserve">Day</t>
  </si>
  <si>
    <t xml:space="preserve">Mon Jun 29</t>
  </si>
  <si>
    <t xml:space="preserve">Mon</t>
  </si>
  <si>
    <t xml:space="preserve">Tue Jun 30</t>
  </si>
  <si>
    <t xml:space="preserve">Tue</t>
  </si>
  <si>
    <t xml:space="preserve">Wed Jul 1</t>
  </si>
  <si>
    <t xml:space="preserve">Wed</t>
  </si>
  <si>
    <t xml:space="preserve">Thu Jul 2</t>
  </si>
  <si>
    <t xml:space="preserve">Thu</t>
  </si>
  <si>
    <t xml:space="preserve">Dr Dynastic 2nd = +15 O/L/C</t>
  </si>
  <si>
    <t xml:space="preserve">Fri Jul 3</t>
  </si>
  <si>
    <t xml:space="preserve">Fri</t>
  </si>
  <si>
    <t xml:space="preserve">Sat Jul 4</t>
  </si>
  <si>
    <t xml:space="preserve">Sat</t>
  </si>
  <si>
    <t xml:space="preserve">Dia+Cap WINNER = +25/25</t>
  </si>
  <si>
    <t xml:space="preserve">Sun Jul 5</t>
  </si>
  <si>
    <t xml:space="preserve">Sun</t>
  </si>
  <si>
    <t xml:space="preserve">today, partial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</si>
</sst>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4444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57"/>
        <bgColor rgb="FF444444"/>
      </patternFill>
    </fill>
    <fill>
      <patternFill patternType="solid">
        <fgColor rgb="FF2E7D5B"/>
        <bgColor rgb="FF008080"/>
      </patternFill>
    </fill>
    <fill>
      <patternFill patternType="solid">
        <fgColor rgb="FFD6F5E3"/>
        <bgColor rgb="FFCCFFFF"/>
      </patternFill>
    </fill>
    <fill>
      <patternFill patternType="solid">
        <fgColor rgb="FFFFE1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E1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B57"/>
      <rgbColor rgb="FF2E7D5B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4" min="3" style="1" width="9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2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 t="s">
        <v>11</v>
      </c>
    </row>
    <row r="5" customFormat="false" ht="15" hidden="false" customHeight="true" outlineLevel="0" collapsed="false">
      <c r="A5" s="6" t="s">
        <v>12</v>
      </c>
      <c r="B5" s="7" t="n">
        <v>361</v>
      </c>
      <c r="C5" s="7" t="n">
        <f aca="false">SUM('Daily Log'!C5:C22)</f>
        <v>91</v>
      </c>
      <c r="D5" s="6" t="n">
        <f aca="false">B5+C5</f>
        <v>452</v>
      </c>
      <c r="E5" s="8" t="s">
        <v>13</v>
      </c>
      <c r="F5" s="8" t="s">
        <v>14</v>
      </c>
      <c r="G5" s="8" t="n">
        <v>114</v>
      </c>
      <c r="H5" s="8" t="n">
        <f aca="false">MAX(0,G5-D5)</f>
        <v>0</v>
      </c>
      <c r="I5" s="9" t="str">
        <f aca="false">IF(D5&gt;=G5,"QUALIFIED — climb Stars","NEED "&amp;TEXT(H5,"0"))</f>
        <v>QUALIFIED — climb Stars</v>
      </c>
      <c r="J5" s="10" t="s">
        <v>15</v>
      </c>
    </row>
    <row r="6" customFormat="false" ht="15" hidden="false" customHeight="true" outlineLevel="0" collapsed="false">
      <c r="A6" s="11" t="s">
        <v>16</v>
      </c>
      <c r="B6" s="12" t="n">
        <v>264</v>
      </c>
      <c r="C6" s="12" t="n">
        <f aca="false">SUM('Daily Log'!G5:G22)</f>
        <v>59</v>
      </c>
      <c r="D6" s="12" t="n">
        <f aca="false">B6+C6</f>
        <v>323</v>
      </c>
      <c r="E6" s="12" t="n">
        <v>276</v>
      </c>
      <c r="F6" s="12" t="n">
        <f aca="false">MAX(0,E6-D6)</f>
        <v>0</v>
      </c>
      <c r="G6" s="12" t="n">
        <v>350</v>
      </c>
      <c r="H6" s="12" t="n">
        <f aca="false">MAX(0,G6-D6)</f>
        <v>27</v>
      </c>
      <c r="I6" s="13" t="str">
        <f aca="false">IF(D6&gt;=G6,"QUALIFIED (est)",IF(D6&gt;=E6,"IN if ended now · +"&amp;TEXT(H6,"0")&amp;" to be safe","+"&amp;TEXT(F6,"0")&amp;" to line · +"&amp;TEXT(H6,"0")&amp;" for est"))</f>
        <v>IN if ended now · +27 to be safe</v>
      </c>
      <c r="J6" s="10" t="s">
        <v>17</v>
      </c>
    </row>
    <row r="7" customFormat="false" ht="15" hidden="false" customHeight="true" outlineLevel="0" collapsed="false">
      <c r="A7" s="11" t="s">
        <v>18</v>
      </c>
      <c r="B7" s="12" t="n">
        <v>73</v>
      </c>
      <c r="C7" s="12" t="n">
        <f aca="false">SUM('Daily Log'!D5:D22)</f>
        <v>45</v>
      </c>
      <c r="D7" s="14" t="n">
        <f aca="false">B7+C7</f>
        <v>118</v>
      </c>
      <c r="E7" s="12" t="n">
        <v>137</v>
      </c>
      <c r="F7" s="12" t="n">
        <f aca="false">MAX(0,E7-D7)</f>
        <v>19</v>
      </c>
      <c r="G7" s="12" t="n">
        <v>174</v>
      </c>
      <c r="H7" s="12" t="n">
        <f aca="false">MAX(0,G7-D7)</f>
        <v>56</v>
      </c>
      <c r="I7" s="15" t="str">
        <f aca="false">IF(D7&gt;=G7,"QUALIFIED (est)",IF(D7&gt;=E7,"IN if ended now · +"&amp;TEXT(H7,"0")&amp;" to be safe","+"&amp;TEXT(F7,"0")&amp;" to line · +"&amp;TEXT(H7,"0")&amp;" for est"))</f>
        <v>+19 to line · +56 for est</v>
      </c>
      <c r="J7" s="16" t="s">
        <v>19</v>
      </c>
    </row>
    <row r="8" customFormat="false" ht="15" hidden="false" customHeight="true" outlineLevel="0" collapsed="false">
      <c r="A8" s="11" t="s">
        <v>20</v>
      </c>
      <c r="B8" s="12" t="n">
        <v>16</v>
      </c>
      <c r="C8" s="12" t="n">
        <f aca="false">SUM('Daily Log'!F5:F22)</f>
        <v>15</v>
      </c>
      <c r="D8" s="12" t="n">
        <f aca="false">B8+C8</f>
        <v>31</v>
      </c>
      <c r="E8" s="12" t="n">
        <v>99</v>
      </c>
      <c r="F8" s="12" t="n">
        <f aca="false">MAX(0,E8-D8)</f>
        <v>68</v>
      </c>
      <c r="G8" s="12" t="n">
        <v>126</v>
      </c>
      <c r="H8" s="12" t="n">
        <f aca="false">MAX(0,G8-D8)</f>
        <v>95</v>
      </c>
      <c r="I8" s="13" t="str">
        <f aca="false">IF(D8&gt;=G8,"QUALIFIED (est)",IF(D8&gt;=E8,"IN if ended now · +"&amp;TEXT(H8,"0")&amp;" to be safe","+"&amp;TEXT(F8,"0")&amp;" to line · +"&amp;TEXT(H8,"0")&amp;" for est"))</f>
        <v>+68 to line · +95 for est</v>
      </c>
      <c r="J8" s="16" t="s">
        <v>21</v>
      </c>
    </row>
    <row r="9" customFormat="false" ht="15" hidden="false" customHeight="true" outlineLevel="0" collapsed="false">
      <c r="A9" s="11" t="s">
        <v>22</v>
      </c>
      <c r="B9" s="12" t="n">
        <v>44</v>
      </c>
      <c r="C9" s="12" t="n">
        <f aca="false">SUM('Daily Log'!E5:E22)</f>
        <v>69</v>
      </c>
      <c r="D9" s="12" t="n">
        <f aca="false">B9+C9</f>
        <v>113</v>
      </c>
      <c r="E9" s="12" t="n">
        <v>133</v>
      </c>
      <c r="F9" s="12" t="n">
        <f aca="false">MAX(0,E9-D9)</f>
        <v>20</v>
      </c>
      <c r="G9" s="12" t="n">
        <v>169</v>
      </c>
      <c r="H9" s="12" t="n">
        <f aca="false">MAX(0,G9-D9)</f>
        <v>56</v>
      </c>
      <c r="I9" s="13" t="str">
        <f aca="false">IF(D9&gt;=G9,"QUALIFIED (est)",IF(D9&gt;=E9,"IN if ended now · +"&amp;TEXT(H9,"0")&amp;" to be safe","+"&amp;TEXT(F9,"0")&amp;" to line · +"&amp;TEXT(H9,"0")&amp;" for est"))</f>
        <v>+20 to line · +56 for est</v>
      </c>
      <c r="J9" s="16" t="s">
        <v>23</v>
      </c>
    </row>
    <row r="11" customFormat="false" ht="15" hidden="false" customHeight="true" outlineLevel="0" collapsed="false">
      <c r="A11" s="17" t="s">
        <v>24</v>
      </c>
    </row>
    <row r="12" customFormat="false" ht="15" hidden="false" customHeight="true" outlineLevel="0" collapsed="false">
      <c r="A12" s="18" t="s">
        <v>25</v>
      </c>
    </row>
    <row r="13" customFormat="false" ht="15" hidden="false" customHeight="true" outlineLevel="0" collapsed="false">
      <c r="A13" s="18" t="s">
        <v>26</v>
      </c>
    </row>
    <row r="14" customFormat="false" ht="15" hidden="false" customHeight="true" outlineLevel="0" collapsed="false">
      <c r="A14" s="18" t="s">
        <v>27</v>
      </c>
    </row>
    <row r="15" customFormat="false" ht="15" hidden="false" customHeight="true" outlineLevel="0" collapsed="false">
      <c r="A15" s="18" t="s">
        <v>28</v>
      </c>
    </row>
    <row r="16" customFormat="false" ht="15" hidden="false" customHeight="true" outlineLevel="0" collapsed="false">
      <c r="A16" s="18" t="s">
        <v>29</v>
      </c>
    </row>
    <row r="17" customFormat="false" ht="15" hidden="false" customHeight="true" outlineLevel="0" collapsed="false">
      <c r="A17" s="1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6" min="4" style="1" width="9"/>
    <col collapsed="false" customWidth="true" hidden="false" outlineLevel="0" max="7" min="7" style="1" width="12"/>
    <col collapsed="false" customWidth="true" hidden="false" outlineLevel="0" max="8" min="8" style="1" width="34"/>
  </cols>
  <sheetData>
    <row r="1" customFormat="false" ht="18" hidden="false" customHeight="true" outlineLevel="0" collapsed="false">
      <c r="A1" s="2" t="s">
        <v>31</v>
      </c>
    </row>
    <row r="2" customFormat="false" ht="15" hidden="false" customHeight="true" outlineLevel="0" collapsed="false">
      <c r="A2" s="3" t="s">
        <v>32</v>
      </c>
    </row>
    <row r="4" customFormat="false" ht="15" hidden="false" customHeight="true" outlineLevel="0" collapsed="false">
      <c r="A4" s="4" t="s">
        <v>33</v>
      </c>
      <c r="B4" s="4" t="s">
        <v>34</v>
      </c>
      <c r="C4" s="4" t="s">
        <v>12</v>
      </c>
      <c r="D4" s="4" t="s">
        <v>18</v>
      </c>
      <c r="E4" s="4" t="s">
        <v>22</v>
      </c>
      <c r="F4" s="4" t="s">
        <v>20</v>
      </c>
      <c r="G4" s="4" t="s">
        <v>16</v>
      </c>
      <c r="H4" s="4" t="s">
        <v>24</v>
      </c>
    </row>
    <row r="5" customFormat="false" ht="15" hidden="false" customHeight="true" outlineLevel="0" collapsed="false">
      <c r="A5" s="19" t="s">
        <v>35</v>
      </c>
      <c r="B5" s="19" t="s">
        <v>36</v>
      </c>
      <c r="C5" s="12" t="n">
        <v>11</v>
      </c>
      <c r="D5" s="12" t="n">
        <v>3</v>
      </c>
      <c r="E5" s="12" t="n">
        <v>3</v>
      </c>
      <c r="F5" s="12" t="n">
        <v>0</v>
      </c>
      <c r="G5" s="12" t="n">
        <v>11</v>
      </c>
      <c r="H5" s="19"/>
    </row>
    <row r="6" customFormat="false" ht="15" hidden="false" customHeight="true" outlineLevel="0" collapsed="false">
      <c r="A6" s="19" t="s">
        <v>37</v>
      </c>
      <c r="B6" s="19" t="s">
        <v>38</v>
      </c>
      <c r="C6" s="12" t="n">
        <v>13</v>
      </c>
      <c r="D6" s="12" t="n">
        <v>1</v>
      </c>
      <c r="E6" s="12" t="n">
        <v>3</v>
      </c>
      <c r="F6" s="12" t="n">
        <v>0</v>
      </c>
      <c r="G6" s="12" t="n">
        <v>2</v>
      </c>
      <c r="H6" s="19"/>
    </row>
    <row r="7" customFormat="false" ht="15" hidden="false" customHeight="true" outlineLevel="0" collapsed="false">
      <c r="A7" s="19" t="s">
        <v>39</v>
      </c>
      <c r="B7" s="19" t="s">
        <v>40</v>
      </c>
      <c r="C7" s="12" t="n">
        <v>8</v>
      </c>
      <c r="D7" s="12" t="n">
        <v>3</v>
      </c>
      <c r="E7" s="12" t="n">
        <v>0</v>
      </c>
      <c r="F7" s="12" t="n">
        <v>0</v>
      </c>
      <c r="G7" s="12" t="n">
        <v>5</v>
      </c>
      <c r="H7" s="19"/>
    </row>
    <row r="8" customFormat="false" ht="15" hidden="false" customHeight="true" outlineLevel="0" collapsed="false">
      <c r="A8" s="19" t="s">
        <v>41</v>
      </c>
      <c r="B8" s="19" t="s">
        <v>42</v>
      </c>
      <c r="C8" s="12" t="n">
        <v>17</v>
      </c>
      <c r="D8" s="12" t="n">
        <v>15</v>
      </c>
      <c r="E8" s="12" t="n">
        <v>30</v>
      </c>
      <c r="F8" s="12" t="n">
        <v>15</v>
      </c>
      <c r="G8" s="12" t="n">
        <v>11</v>
      </c>
      <c r="H8" s="19" t="s">
        <v>43</v>
      </c>
    </row>
    <row r="9" customFormat="false" ht="15" hidden="false" customHeight="true" outlineLevel="0" collapsed="false">
      <c r="A9" s="19" t="s">
        <v>44</v>
      </c>
      <c r="B9" s="19" t="s">
        <v>45</v>
      </c>
      <c r="C9" s="12" t="n">
        <v>9</v>
      </c>
      <c r="D9" s="12" t="n">
        <v>1</v>
      </c>
      <c r="E9" s="12" t="n">
        <v>7</v>
      </c>
      <c r="F9" s="12" t="n">
        <v>0</v>
      </c>
      <c r="G9" s="12" t="n">
        <v>4</v>
      </c>
      <c r="H9" s="19"/>
    </row>
    <row r="10" customFormat="false" ht="15" hidden="false" customHeight="true" outlineLevel="0" collapsed="false">
      <c r="A10" s="19" t="s">
        <v>46</v>
      </c>
      <c r="B10" s="19" t="s">
        <v>47</v>
      </c>
      <c r="C10" s="12" t="n">
        <v>30</v>
      </c>
      <c r="D10" s="12" t="n">
        <v>10</v>
      </c>
      <c r="E10" s="12" t="n">
        <v>26</v>
      </c>
      <c r="F10" s="12" t="n">
        <v>0</v>
      </c>
      <c r="G10" s="12" t="n">
        <v>14</v>
      </c>
      <c r="H10" s="19" t="s">
        <v>48</v>
      </c>
    </row>
    <row r="11" customFormat="false" ht="15" hidden="false" customHeight="true" outlineLevel="0" collapsed="false">
      <c r="A11" s="19" t="s">
        <v>49</v>
      </c>
      <c r="B11" s="19" t="s">
        <v>50</v>
      </c>
      <c r="C11" s="12" t="n">
        <v>3</v>
      </c>
      <c r="D11" s="12" t="n">
        <v>12</v>
      </c>
      <c r="E11" s="12" t="n">
        <v>0</v>
      </c>
      <c r="F11" s="12" t="n">
        <v>0</v>
      </c>
      <c r="G11" s="12" t="n">
        <v>12</v>
      </c>
      <c r="H11" s="19" t="s">
        <v>51</v>
      </c>
    </row>
    <row r="12" customFormat="false" ht="1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</row>
    <row r="13" customFormat="false" ht="1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</row>
    <row r="14" customFormat="false" ht="1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1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</row>
    <row r="18" customFormat="false" ht="1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</row>
    <row r="20" customFormat="false" ht="1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2026-07-01T04:08:49Z</dcterms:created>
  <dc:creator>openpyxl</dc:creator>
  <dc:description/>
  <dc:language>en-US</dc:language>
  <cp:lastModifiedBy/>
  <dcterms:modified xsi:type="dcterms:W3CDTF">2026-07-05T21:18:16Z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