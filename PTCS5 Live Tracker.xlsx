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Lo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5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888888"/>
      <sz val="10"/>
    </font>
    <font>
      <name val="Arial"/>
      <charset val="1"/>
      <family val="0"/>
      <color rgb="FF777777"/>
      <sz val="11"/>
    </font>
    <font>
      <name val="Arial"/>
      <charset val="1"/>
      <family val="0"/>
      <b val="1"/>
      <sz val="12"/>
    </font>
    <font>
      <name val="Arial"/>
      <charset val="1"/>
      <family val="0"/>
      <color rgb="FF444444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1F3B57"/>
        <bgColor rgb="FF444444"/>
      </patternFill>
    </fill>
    <fill>
      <patternFill patternType="solid">
        <fgColor rgb="FFF2F4F7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9" fontId="8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9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9" fontId="8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9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13" fillId="0" borderId="2" applyAlignment="1" pivotButton="0" quotePrefix="0" xfId="0">
      <alignment horizontal="left"/>
    </xf>
    <xf numFmtId="0" fontId="13" fillId="0" borderId="2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777777"/>
      <rgbColor rgb="FF1F3B57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5" customWidth="1" style="20" min="1" max="1"/>
    <col width="13" customWidth="1" style="20" min="2" max="2"/>
    <col width="9" customWidth="1" style="20" min="3" max="3"/>
    <col width="10" customWidth="1" style="20" min="4" max="4"/>
    <col width="8" customWidth="1" style="20" min="5" max="5"/>
    <col width="12" customWidth="1" style="20" min="6" max="6"/>
    <col width="8" customWidth="1" style="20" min="7" max="7"/>
    <col width="7" customWidth="1" style="20" min="8" max="8"/>
    <col width="8" customWidth="1" style="20" min="9" max="9"/>
    <col width="9" customWidth="1" style="20" min="10" max="10"/>
    <col width="16" customWidth="1" style="20" min="11" max="11"/>
  </cols>
  <sheetData>
    <row r="1" ht="18" customHeight="1" s="21">
      <c r="A1" s="22" t="inlineStr">
        <is>
          <t>PTCS 5 Qualifying — Full Tracker (KC Torrent / RTR1776)</t>
        </is>
      </c>
    </row>
    <row r="2" ht="15" customHeight="1" s="21">
      <c r="A2" s="23" t="inlineStr">
        <is>
          <t>Period Jul 6 - Aug 2 (4 wks). Targets recalibrated off THIS period's actual week-1 128-gain x4, +10% for the usual late-month climb. Qualify = top 128.</t>
        </is>
      </c>
    </row>
    <row r="4" ht="15" customHeight="1" s="21">
      <c r="A4" s="24" t="inlineStr">
        <is>
          <t>Category</t>
        </is>
      </c>
      <c r="B4" s="24" t="inlineStr">
        <is>
          <t>Wk1 (official)</t>
        </is>
      </c>
      <c r="C4" s="24" t="inlineStr">
        <is>
          <t>Wk1 rank</t>
        </is>
      </c>
      <c r="D4" s="24" t="inlineStr">
        <is>
          <t>Added (log)</t>
        </is>
      </c>
      <c r="E4" s="24" t="inlineStr">
        <is>
          <t>Total</t>
        </is>
      </c>
      <c r="F4" s="24" t="inlineStr">
        <is>
          <t>Target (safe)</t>
        </is>
      </c>
      <c r="G4" s="24" t="inlineStr">
        <is>
          <t>Likely</t>
        </is>
      </c>
      <c r="H4" s="24" t="inlineStr">
        <is>
          <t>Gap</t>
        </is>
      </c>
      <c r="I4" s="24" t="inlineStr">
        <is>
          <t>% there</t>
        </is>
      </c>
      <c r="J4" s="24" t="inlineStr">
        <is>
          <t>Need/wk</t>
        </is>
      </c>
      <c r="K4" s="24" t="inlineStr">
        <is>
          <t>Status</t>
        </is>
      </c>
    </row>
    <row r="5" ht="15" customHeight="1" s="21">
      <c r="A5" s="25" t="inlineStr">
        <is>
          <t>Diamond</t>
        </is>
      </c>
      <c r="B5" s="26" t="n">
        <v>115</v>
      </c>
      <c r="C5" s="27" t="n">
        <v>6</v>
      </c>
      <c r="D5" s="26">
        <f>SUM('Daily Log'!C5:C34)</f>
        <v/>
      </c>
      <c r="E5" s="28">
        <f>B5+D5</f>
        <v/>
      </c>
      <c r="F5" s="26" t="n">
        <v>84</v>
      </c>
      <c r="G5" s="27" t="n">
        <v>76</v>
      </c>
      <c r="H5" s="26">
        <f>MAX(0,F5-E5)</f>
        <v/>
      </c>
      <c r="I5" s="29">
        <f>E5/F5</f>
        <v/>
      </c>
      <c r="J5" s="26">
        <f>ROUND(H5/3,0)</f>
        <v/>
      </c>
      <c r="K5" s="30">
        <f>IF(E5&gt;=F5,"CLEARED","+"&amp;TEXT(H5,"0")&amp;" to go")</f>
        <v/>
      </c>
    </row>
    <row r="6" ht="15" customHeight="1" s="21">
      <c r="A6" s="25" t="inlineStr">
        <is>
          <t>PDD (D.Draft)</t>
        </is>
      </c>
      <c r="B6" s="26" t="n">
        <v>129</v>
      </c>
      <c r="C6" s="27" t="n">
        <v>29</v>
      </c>
      <c r="D6" s="26">
        <f>SUM('Daily Log'!H5:H34)</f>
        <v/>
      </c>
      <c r="E6" s="28">
        <f>B6+D6</f>
        <v/>
      </c>
      <c r="F6" s="26" t="n">
        <v>317</v>
      </c>
      <c r="G6" s="27" t="n">
        <v>288</v>
      </c>
      <c r="H6" s="26">
        <f>MAX(0,F6-E6)</f>
        <v/>
      </c>
      <c r="I6" s="29">
        <f>E6/F6</f>
        <v/>
      </c>
      <c r="J6" s="26">
        <f>ROUND(H6/3,0)</f>
        <v/>
      </c>
      <c r="K6" s="30">
        <f>IF(E6&gt;=F6,"CLEARED","+"&amp;TEXT(H6,"0")&amp;" to go")</f>
        <v/>
      </c>
    </row>
    <row r="7" ht="15" customHeight="1" s="21">
      <c r="A7" s="25" t="inlineStr">
        <is>
          <t>Live</t>
        </is>
      </c>
      <c r="B7" s="26" t="n">
        <v>50</v>
      </c>
      <c r="C7" s="27" t="n">
        <v>79</v>
      </c>
      <c r="D7" s="26">
        <f>SUM('Daily Log'!D5:D34)</f>
        <v/>
      </c>
      <c r="E7" s="28">
        <f>B7+D7</f>
        <v/>
      </c>
      <c r="F7" s="26" t="n">
        <v>154</v>
      </c>
      <c r="G7" s="27" t="n">
        <v>140</v>
      </c>
      <c r="H7" s="26">
        <f>MAX(0,F7-E7)</f>
        <v/>
      </c>
      <c r="I7" s="29">
        <f>E7/F7</f>
        <v/>
      </c>
      <c r="J7" s="26">
        <f>ROUND(H7/3,0)</f>
        <v/>
      </c>
      <c r="K7" s="30">
        <f>IF(E7&gt;=F7,"CLEARED","+"&amp;TEXT(H7,"0")&amp;" to go")</f>
        <v/>
      </c>
    </row>
    <row r="8" ht="15" customHeight="1" s="21">
      <c r="A8" s="25" t="inlineStr">
        <is>
          <t>Cap</t>
        </is>
      </c>
      <c r="B8" s="26" t="n">
        <v>20</v>
      </c>
      <c r="C8" s="27" t="n">
        <v>197</v>
      </c>
      <c r="D8" s="26">
        <f>SUM('Daily Log'!E5:E34)</f>
        <v/>
      </c>
      <c r="E8" s="28">
        <f>B8+D8</f>
        <v/>
      </c>
      <c r="F8" s="26" t="n">
        <v>158</v>
      </c>
      <c r="G8" s="27" t="n">
        <v>144</v>
      </c>
      <c r="H8" s="26">
        <f>MAX(0,F8-E8)</f>
        <v/>
      </c>
      <c r="I8" s="29">
        <f>E8/F8</f>
        <v/>
      </c>
      <c r="J8" s="26">
        <f>ROUND(H8/3,0)</f>
        <v/>
      </c>
      <c r="K8" s="30">
        <f>IF(E8&gt;=F8,"CLEARED","+"&amp;TEXT(H8,"0")&amp;" to go")</f>
        <v/>
      </c>
    </row>
    <row r="9" ht="15" customHeight="1" s="21">
      <c r="A9" s="25" t="inlineStr">
        <is>
          <t>Gold</t>
        </is>
      </c>
      <c r="B9" s="26" t="n">
        <v>4</v>
      </c>
      <c r="C9" s="27" t="n">
        <v>388</v>
      </c>
      <c r="D9" s="26">
        <f>SUM('Daily Log'!F5:F34)</f>
        <v/>
      </c>
      <c r="E9" s="28">
        <f>B9+D9</f>
        <v/>
      </c>
      <c r="F9" s="26" t="n">
        <v>97</v>
      </c>
      <c r="G9" s="27" t="n">
        <v>88</v>
      </c>
      <c r="H9" s="26">
        <f>MAX(0,F9-E9)</f>
        <v/>
      </c>
      <c r="I9" s="29">
        <f>E9/F9</f>
        <v/>
      </c>
      <c r="J9" s="26">
        <f>ROUND(H9/3,0)</f>
        <v/>
      </c>
      <c r="K9" s="30">
        <f>IF(E9&gt;=F9,"CLEARED","+"&amp;TEXT(H9,"0")&amp;" to go")</f>
        <v/>
      </c>
    </row>
    <row r="10" ht="15" customHeight="1" s="21">
      <c r="A10" s="25" t="inlineStr">
        <is>
          <t>Silver</t>
        </is>
      </c>
      <c r="B10" s="26" t="n">
        <v>0</v>
      </c>
      <c r="C10" s="27" t="inlineStr">
        <is>
          <t>—</t>
        </is>
      </c>
      <c r="D10" s="26">
        <f>SUM('Daily Log'!G5:G34)</f>
        <v/>
      </c>
      <c r="E10" s="28">
        <f>B10+D10</f>
        <v/>
      </c>
      <c r="F10" s="26" t="n">
        <v>119</v>
      </c>
      <c r="G10" s="27" t="n">
        <v>108</v>
      </c>
      <c r="H10" s="26">
        <f>MAX(0,F10-E10)</f>
        <v/>
      </c>
      <c r="I10" s="29">
        <f>E10/F10</f>
        <v/>
      </c>
      <c r="J10" s="26">
        <f>ROUND(H10/3,0)</f>
        <v/>
      </c>
      <c r="K10" s="30">
        <f>IF(E10&gt;=F10,"CLEARED","+"&amp;TEXT(H10,"0")&amp;" to go")</f>
        <v/>
      </c>
    </row>
    <row r="11" ht="15" customHeight="1" s="21">
      <c r="A11" s="31" t="inlineStr">
        <is>
          <t>Open</t>
        </is>
      </c>
      <c r="B11" s="32" t="n">
        <v>1</v>
      </c>
      <c r="C11" s="33" t="n">
        <v>500</v>
      </c>
      <c r="D11" s="32">
        <f>SUM('Daily Log'!I5:I34)</f>
        <v/>
      </c>
      <c r="E11" s="34">
        <f>B11+D11</f>
        <v/>
      </c>
      <c r="F11" s="32" t="n">
        <v>114</v>
      </c>
      <c r="G11" s="33" t="n">
        <v>104</v>
      </c>
      <c r="H11" s="32">
        <f>MAX(0,F11-E11)</f>
        <v/>
      </c>
      <c r="I11" s="35">
        <f>E11/F11</f>
        <v/>
      </c>
      <c r="J11" s="32">
        <f>ROUND(H11/3,0)</f>
        <v/>
      </c>
      <c r="K11" s="36">
        <f>IF(E11&gt;=F11,"CLEARED","+"&amp;TEXT(H11,"0")&amp;" to go")</f>
        <v/>
      </c>
    </row>
    <row r="12" ht="15" customHeight="1" s="21">
      <c r="A12" s="31" t="inlineStr">
        <is>
          <t>Iron</t>
        </is>
      </c>
      <c r="B12" s="32" t="n">
        <v>0</v>
      </c>
      <c r="C12" s="33" t="inlineStr">
        <is>
          <t>—</t>
        </is>
      </c>
      <c r="D12" s="32">
        <f>SUM('Daily Log'!J5:J34)</f>
        <v/>
      </c>
      <c r="E12" s="34">
        <f>B12+D12</f>
        <v/>
      </c>
      <c r="F12" s="32" t="n">
        <v>128</v>
      </c>
      <c r="G12" s="33" t="n">
        <v>116</v>
      </c>
      <c r="H12" s="32">
        <f>MAX(0,F12-E12)</f>
        <v/>
      </c>
      <c r="I12" s="35">
        <f>E12/F12</f>
        <v/>
      </c>
      <c r="J12" s="32">
        <f>ROUND(H12/3,0)</f>
        <v/>
      </c>
      <c r="K12" s="36">
        <f>IF(E12&gt;=F12,"CLEARED","+"&amp;TEXT(H12,"0")&amp;" to go")</f>
        <v/>
      </c>
    </row>
    <row r="13" ht="15" customHeight="1" s="21">
      <c r="A13" s="31" t="inlineStr">
        <is>
          <t>W. Draft</t>
        </is>
      </c>
      <c r="B13" s="32" t="n">
        <v>0</v>
      </c>
      <c r="C13" s="33" t="n">
        <v>789</v>
      </c>
      <c r="D13" s="32">
        <f>SUM('Daily Log'!K5:K34)</f>
        <v/>
      </c>
      <c r="E13" s="34">
        <f>B13+D13</f>
        <v/>
      </c>
      <c r="F13" s="32" t="n">
        <v>92</v>
      </c>
      <c r="G13" s="33" t="n">
        <v>84</v>
      </c>
      <c r="H13" s="32">
        <f>MAX(0,F13-E13)</f>
        <v/>
      </c>
      <c r="I13" s="35">
        <f>E13/F13</f>
        <v/>
      </c>
      <c r="J13" s="32">
        <f>ROUND(H13/3,0)</f>
        <v/>
      </c>
      <c r="K13" s="36">
        <f>IF(E13&gt;=F13,"CLEARED","+"&amp;TEXT(H13,"0")&amp;" to go")</f>
        <v/>
      </c>
    </row>
    <row r="14" ht="15" customHeight="1" s="21">
      <c r="A14" s="31" t="inlineStr">
        <is>
          <t>Weekly (T)</t>
        </is>
      </c>
      <c r="B14" s="32" t="n">
        <v>7</v>
      </c>
      <c r="C14" s="33" t="n">
        <v>249</v>
      </c>
      <c r="D14" s="32">
        <f>SUM('Daily Log'!L5:L34)</f>
        <v/>
      </c>
      <c r="E14" s="34">
        <f>B14+D14</f>
        <v/>
      </c>
      <c r="F14" s="32" t="n">
        <v>75</v>
      </c>
      <c r="G14" s="33" t="n">
        <v>68</v>
      </c>
      <c r="H14" s="32">
        <f>MAX(0,F14-E14)</f>
        <v/>
      </c>
      <c r="I14" s="35">
        <f>E14/F14</f>
        <v/>
      </c>
      <c r="J14" s="32">
        <f>ROUND(H14/3,0)</f>
        <v/>
      </c>
      <c r="K14" s="36">
        <f>IF(E14&gt;=F14,"CLEARED","+"&amp;TEXT(H14,"0")&amp;" to go")</f>
        <v/>
      </c>
    </row>
    <row r="16" ht="15" customHeight="1" s="21">
      <c r="A16" s="37" t="inlineStr">
        <is>
          <t>Notes</t>
        </is>
      </c>
    </row>
    <row r="17" ht="15" customHeight="1" s="21">
      <c r="A17" s="38" t="inlineStr">
        <is>
          <t>• Week 1 seeded from OFFICIAL standings (wk18 Jul 6-12) — ground truth. Daily Log now tracks weeks 2-4 only.</t>
        </is>
      </c>
    </row>
    <row r="18" ht="15" customHeight="1" s="21">
      <c r="A18" s="38" t="inlineStr">
        <is>
          <t>• Actual wk1 128-gain: Diamond 19, PDD 72, Live 35, Cap 36, Gold 22, Silver 27, Open 26, Iron 29, W.Draft 21, Weekly 17.</t>
        </is>
      </c>
    </row>
    <row r="19" ht="15" customHeight="1" s="21">
      <c r="A19" s="38" t="inlineStr">
        <is>
          <t>• Targets = wk1 gain x 4 wks, +10% buffer since cutoff pace tends to climb later in the month. 'Likely' = no buffer.</t>
        </is>
      </c>
    </row>
    <row r="20" ht="15" customHeight="1" s="21">
      <c r="A20" s="38" t="inlineStr">
        <is>
          <t>• Greyed rows = tracked but not being chased. Diamond CLEARED (115 vs 84 safe) — you were 6th in week 1.</t>
        </is>
      </c>
    </row>
    <row r="21" ht="15" customHeight="1" s="21">
      <c r="A21" s="38" t="inlineStr">
        <is>
          <t>• Cap is the lag. Fix = top-8 finishes in Diamond+Cap games (a 3rd/4th paid 10), or play the Gold+Cap / Silver+Cap variants to feed the new tiers AND Cap at once.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20" min="1" max="1"/>
    <col width="6" customWidth="1" style="20" min="2" max="2"/>
    <col width="9" customWidth="1" style="20" min="3" max="3"/>
    <col width="8" customWidth="1" style="20" min="4" max="10"/>
    <col width="9" customWidth="1" style="20" min="11" max="12"/>
    <col width="28" customWidth="1" style="20" min="13" max="13"/>
  </cols>
  <sheetData>
    <row r="1" ht="18" customHeight="1" s="21">
      <c r="A1" s="22" t="inlineStr">
        <is>
          <t>PTCS 5 — Daily Log (weeks 2-4).  Week 1 is locked from official standings.</t>
        </is>
      </c>
    </row>
    <row r="2" ht="15" customHeight="1" s="21">
      <c r="A2" s="23" t="inlineStr">
        <is>
          <t>Enter points earned per day from Jul 13 onward. Week 1 totals live on the Dashboard.</t>
        </is>
      </c>
    </row>
    <row r="4" ht="15" customHeight="1" s="21">
      <c r="A4" s="24" t="inlineStr">
        <is>
          <t>Date</t>
        </is>
      </c>
      <c r="B4" s="24" t="inlineStr">
        <is>
          <t>Day</t>
        </is>
      </c>
      <c r="C4" s="24" t="inlineStr">
        <is>
          <t>Diamond</t>
        </is>
      </c>
      <c r="D4" s="24" t="inlineStr">
        <is>
          <t>Live</t>
        </is>
      </c>
      <c r="E4" s="24" t="inlineStr">
        <is>
          <t>Cap</t>
        </is>
      </c>
      <c r="F4" s="24" t="inlineStr">
        <is>
          <t>Gold</t>
        </is>
      </c>
      <c r="G4" s="24" t="inlineStr">
        <is>
          <t>Silver</t>
        </is>
      </c>
      <c r="H4" s="24" t="inlineStr">
        <is>
          <t>PDD</t>
        </is>
      </c>
      <c r="I4" s="24" t="inlineStr">
        <is>
          <t>Open</t>
        </is>
      </c>
      <c r="J4" s="24" t="inlineStr">
        <is>
          <t>Iron</t>
        </is>
      </c>
      <c r="K4" s="24" t="inlineStr">
        <is>
          <t>W.Draft</t>
        </is>
      </c>
      <c r="L4" s="24" t="inlineStr">
        <is>
          <t>Weekly</t>
        </is>
      </c>
      <c r="M4" s="24" t="inlineStr">
        <is>
          <t>Notes</t>
        </is>
      </c>
    </row>
    <row r="5" ht="15" customHeight="1" s="21">
      <c r="A5" s="39" t="inlineStr">
        <is>
          <t>Mon Jul 13</t>
        </is>
      </c>
      <c r="B5" s="39" t="inlineStr">
        <is>
          <t>Mon</t>
        </is>
      </c>
      <c r="C5" s="26" t="n">
        <v>3</v>
      </c>
      <c r="D5" s="26" t="n">
        <v>0</v>
      </c>
      <c r="E5" s="26" t="n">
        <v>4</v>
      </c>
      <c r="F5" s="26" t="n">
        <v>7</v>
      </c>
      <c r="G5" s="26" t="n">
        <v>0</v>
      </c>
      <c r="H5" s="26" t="n">
        <v>26</v>
      </c>
      <c r="I5" s="26" t="n">
        <v>0</v>
      </c>
      <c r="J5" s="26" t="n">
        <v>0</v>
      </c>
      <c r="K5" s="26" t="n">
        <v>0</v>
      </c>
      <c r="L5" s="26" t="n">
        <v>0</v>
      </c>
      <c r="M5" s="39" t="inlineStr">
        <is>
          <t>wk2 start; Good Orderly 3rd/4th +10 PDD</t>
        </is>
      </c>
    </row>
    <row r="6" ht="15" customHeight="1" s="21">
      <c r="A6" s="39" t="inlineStr">
        <is>
          <t>Tue Jul 14</t>
        </is>
      </c>
      <c r="B6" s="39" t="inlineStr">
        <is>
          <t>Tue</t>
        </is>
      </c>
      <c r="C6" s="26" t="n">
        <v>0</v>
      </c>
      <c r="D6" s="26" t="n">
        <v>14</v>
      </c>
      <c r="E6" s="26" t="n">
        <v>0</v>
      </c>
      <c r="F6" s="26" t="n">
        <v>1</v>
      </c>
      <c r="G6" s="26" t="n">
        <v>0</v>
      </c>
      <c r="H6" s="26" t="n">
        <v>34</v>
      </c>
      <c r="I6" s="26" t="n">
        <v>0</v>
      </c>
      <c r="J6" s="26" t="n">
        <v>0</v>
      </c>
      <c r="K6" s="26" t="n">
        <v>0</v>
      </c>
      <c r="L6" s="26" t="n">
        <v>0</v>
      </c>
      <c r="M6" s="39" t="inlineStr">
        <is>
          <t>Laptophound 2nd +20 PDD; DontForget 3/4 +10 L</t>
        </is>
      </c>
    </row>
    <row r="7" ht="15" customHeight="1" s="21">
      <c r="A7" s="40" t="inlineStr">
        <is>
          <t>Wed Jul 15</t>
        </is>
      </c>
      <c r="B7" s="40" t="inlineStr">
        <is>
          <t>Wed</t>
        </is>
      </c>
      <c r="C7" s="41" t="n">
        <v>25</v>
      </c>
      <c r="D7" s="41" t="n">
        <v>6</v>
      </c>
      <c r="E7" s="41" t="n">
        <v>26</v>
      </c>
      <c r="F7" s="41" t="n">
        <v>3</v>
      </c>
      <c r="G7" s="41" t="n">
        <v>0</v>
      </c>
      <c r="H7" s="41" t="n">
        <v>21</v>
      </c>
      <c r="I7" s="41" t="n">
        <v>0</v>
      </c>
      <c r="J7" s="41" t="n">
        <v>0</v>
      </c>
      <c r="K7" s="41" t="n">
        <v>0</v>
      </c>
      <c r="L7" s="41" t="n">
        <v>0</v>
      </c>
      <c r="M7" s="40" t="inlineStr">
        <is>
          <t>Diamond Slots WINNER = +25 Cap (finally!)</t>
        </is>
      </c>
    </row>
    <row r="8" ht="15" customHeight="1" s="21">
      <c r="A8" s="40" t="inlineStr">
        <is>
          <t>Thu Jul 16</t>
        </is>
      </c>
      <c r="B8" s="40" t="inlineStr">
        <is>
          <t>Thu</t>
        </is>
      </c>
      <c r="C8" s="41" t="n">
        <v>6</v>
      </c>
      <c r="D8" s="41" t="n">
        <v>1</v>
      </c>
      <c r="E8" s="41" t="n">
        <v>4</v>
      </c>
      <c r="F8" s="41" t="n">
        <v>2</v>
      </c>
      <c r="G8" s="41" t="n">
        <v>0</v>
      </c>
      <c r="H8" s="41" t="n">
        <v>24</v>
      </c>
      <c r="I8" s="41" t="n">
        <v>0</v>
      </c>
      <c r="J8" s="41" t="n">
        <v>0</v>
      </c>
      <c r="K8" s="41" t="n">
        <v>0</v>
      </c>
      <c r="L8" s="41" t="n">
        <v>0</v>
      </c>
      <c r="M8" s="40" t="inlineStr">
        <is>
          <t>Busy 2nd +15; D&amp;Friends 9-16 +3 Cap</t>
        </is>
      </c>
    </row>
    <row r="9" ht="15" customHeight="1" s="21">
      <c r="A9" s="40" t="inlineStr">
        <is>
          <t>Fri Jul 17</t>
        </is>
      </c>
      <c r="B9" s="40" t="inlineStr">
        <is>
          <t>Fri</t>
        </is>
      </c>
      <c r="C9" s="41" t="n">
        <v>0</v>
      </c>
      <c r="D9" s="41" t="n">
        <v>1</v>
      </c>
      <c r="E9" s="41" t="n">
        <v>0</v>
      </c>
      <c r="F9" s="41" t="n">
        <v>0</v>
      </c>
      <c r="G9" s="41" t="n">
        <v>0</v>
      </c>
      <c r="H9" s="41" t="n">
        <v>1</v>
      </c>
      <c r="I9" s="41" t="n">
        <v>0</v>
      </c>
      <c r="J9" s="41" t="n">
        <v>0</v>
      </c>
      <c r="K9" s="41" t="n">
        <v>0</v>
      </c>
      <c r="L9" s="41" t="n">
        <v>0</v>
      </c>
      <c r="M9" s="40" t="inlineStr">
        <is>
          <t>partial; more tonight</t>
        </is>
      </c>
    </row>
    <row r="10" ht="15" customHeight="1" s="21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</row>
    <row r="11" ht="15" customHeight="1" s="2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15" customHeight="1" s="21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</row>
    <row r="13" ht="15" customHeight="1" s="2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</row>
    <row r="14" ht="15" customHeight="1" s="2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</row>
    <row r="15" ht="15" customHeight="1" s="21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</row>
    <row r="16" ht="15" customHeight="1" s="21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</row>
    <row r="17" ht="15" customHeight="1" s="21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</row>
    <row r="18" ht="15" customHeight="1" s="21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</row>
    <row r="19" ht="15" customHeight="1" s="2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</row>
    <row r="20" ht="15" customHeight="1" s="21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</row>
    <row r="21" ht="15" customHeight="1" s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</row>
    <row r="22" ht="15" customHeight="1" s="2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</row>
    <row r="23" ht="15" customHeight="1" s="2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</row>
    <row r="24" ht="15" customHeight="1" s="2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</row>
    <row r="25" ht="15" customHeight="1" s="2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</row>
    <row r="26" ht="15" customHeight="1" s="2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</row>
    <row r="27" ht="15" customHeight="1" s="2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</row>
    <row r="28" ht="15" customHeight="1" s="21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</row>
    <row r="29" ht="15" customHeight="1" s="2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</row>
    <row r="30" ht="15" customHeight="1" s="21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</row>
    <row r="31" ht="15" customHeight="1" s="2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</row>
    <row r="32" ht="15" customHeight="1" s="21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</row>
    <row r="33" ht="15" customHeight="1" s="2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</row>
    <row r="34" ht="15" customHeight="1" s="21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2026-07-13T21:27:22Z</dcterms:created>
  <dcterms:modified xmlns:dcterms="http://purl.org/dc/terms/" xmlns:xsi="http://www.w3.org/2001/XMLSchema-instance" xsi:type="dcterms:W3CDTF">2026-07-17T16:07:16Z</dcterms:modified>
  <cp:revision>0</cp:revision>
</cp:coreProperties>
</file>