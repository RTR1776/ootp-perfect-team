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Final Week Lo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b val="1"/>
      <sz val="15"/>
    </font>
    <font>
      <name val="Arial"/>
      <i val="1"/>
      <color rgb="00666666"/>
      <sz val="10"/>
    </font>
    <font>
      <name val="Arial"/>
      <b val="1"/>
      <color rgb="00FFFFFF"/>
      <sz val="11"/>
    </font>
    <font>
      <name val="Arial"/>
      <sz val="11"/>
    </font>
    <font>
      <name val="Arial"/>
      <b val="1"/>
      <sz val="11"/>
    </font>
    <font>
      <name val="Arial"/>
      <color rgb="00888888"/>
      <sz val="10"/>
    </font>
    <font>
      <name val="Arial"/>
      <color rgb="00777777"/>
      <sz val="11"/>
    </font>
    <font>
      <name val="Arial"/>
      <b val="1"/>
      <sz val="12"/>
    </font>
    <font>
      <name val="Arial"/>
      <color rgb="00444444"/>
      <sz val="10"/>
    </font>
  </fonts>
  <fills count="4">
    <fill>
      <patternFill/>
    </fill>
    <fill>
      <patternFill patternType="gray125"/>
    </fill>
    <fill>
      <patternFill patternType="solid">
        <fgColor rgb="001F3B57"/>
      </patternFill>
    </fill>
    <fill>
      <patternFill patternType="solid">
        <fgColor rgb="00F2F4F7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5" fillId="0" borderId="1" pivotButton="0" quotePrefix="0" xfId="0"/>
    <xf numFmtId="0" fontId="4" fillId="0" borderId="1" applyAlignment="1" pivotButton="0" quotePrefix="0" xfId="0">
      <alignment horizontal="center"/>
    </xf>
    <xf numFmtId="0" fontId="6" fillId="0" borderId="1" applyAlignment="1" pivotButton="0" quotePrefix="0" xfId="0">
      <alignment horizontal="center"/>
    </xf>
    <xf numFmtId="0" fontId="5" fillId="0" borderId="1" applyAlignment="1" pivotButton="0" quotePrefix="0" xfId="0">
      <alignment horizontal="center"/>
    </xf>
    <xf numFmtId="0" fontId="0" fillId="0" borderId="1" pivotButton="0" quotePrefix="0" xfId="0"/>
    <xf numFmtId="0" fontId="7" fillId="3" borderId="1" pivotButton="0" quotePrefix="0" xfId="0"/>
    <xf numFmtId="0" fontId="4" fillId="3" borderId="1" applyAlignment="1" pivotButton="0" quotePrefix="0" xfId="0">
      <alignment horizontal="center"/>
    </xf>
    <xf numFmtId="0" fontId="6" fillId="3" borderId="1" applyAlignment="1" pivotButton="0" quotePrefix="0" xfId="0">
      <alignment horizontal="center"/>
    </xf>
    <xf numFmtId="0" fontId="5" fillId="3" borderId="1" applyAlignment="1" pivotButton="0" quotePrefix="0" xfId="0">
      <alignment horizontal="center"/>
    </xf>
    <xf numFmtId="0" fontId="0" fillId="3" borderId="1" pivotButton="0" quotePrefix="0" xfId="0"/>
    <xf numFmtId="0" fontId="8" fillId="0" borderId="0" pivotButton="0" quotePrefix="0" xfId="0"/>
    <xf numFmtId="0" fontId="9" fillId="0" borderId="0" pivotButton="0" quotePrefix="0" xfId="0"/>
    <xf numFmtId="0" fontId="4" fillId="0" borderId="1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5" customWidth="1" min="1" max="1"/>
    <col width="9" customWidth="1" min="2" max="2"/>
    <col width="7" customWidth="1" min="3" max="3"/>
    <col width="10" customWidth="1" min="4" max="4"/>
    <col width="17" customWidth="1" min="5" max="5"/>
    <col width="8" customWidth="1" min="6" max="6"/>
    <col width="8" customWidth="1" min="7" max="7"/>
    <col width="8" customWidth="1" min="8" max="8"/>
    <col width="12" customWidth="1" min="9" max="9"/>
    <col width="16" customWidth="1" min="10" max="10"/>
  </cols>
  <sheetData>
    <row r="1">
      <c r="A1" s="1" t="inlineStr">
        <is>
          <t>PTCS 5 — Final Week Push</t>
        </is>
      </c>
    </row>
    <row r="2">
      <c r="A2" s="2" t="inlineStr">
        <is>
          <t>Base = OFFICIAL standings thru Jul 26 (all 8 categories). Projected final cutoff = current 128th x 28/21 days. Period ends Aug 2.</t>
        </is>
      </c>
    </row>
    <row r="4">
      <c r="A4" s="3" t="inlineStr">
        <is>
          <t>Category</t>
        </is>
      </c>
      <c r="B4" s="3" t="inlineStr">
        <is>
          <t>Official</t>
        </is>
      </c>
      <c r="C4" s="3" t="inlineStr">
        <is>
          <t>Rank</t>
        </is>
      </c>
      <c r="D4" s="3" t="inlineStr">
        <is>
          <t>128th now</t>
        </is>
      </c>
      <c r="E4" s="3" t="inlineStr">
        <is>
          <t>Proj final cutoff</t>
        </is>
      </c>
      <c r="F4" s="3" t="inlineStr">
        <is>
          <t>Added</t>
        </is>
      </c>
      <c r="G4" s="3" t="inlineStr">
        <is>
          <t>Total</t>
        </is>
      </c>
      <c r="H4" s="3" t="inlineStr">
        <is>
          <t>Gap</t>
        </is>
      </c>
      <c r="I4" s="3" t="inlineStr">
        <is>
          <t>Per day (2d)</t>
        </is>
      </c>
      <c r="J4" s="3" t="inlineStr">
        <is>
          <t>Verdict</t>
        </is>
      </c>
    </row>
    <row r="5">
      <c r="A5" s="4" t="inlineStr">
        <is>
          <t>Diamond</t>
        </is>
      </c>
      <c r="B5" s="5" t="n">
        <v>244</v>
      </c>
      <c r="C5" s="6" t="n">
        <v>11</v>
      </c>
      <c r="D5" s="6" t="n">
        <v>61</v>
      </c>
      <c r="E5" s="5" t="n">
        <v>81</v>
      </c>
      <c r="F5" s="5">
        <f>SUM('Final Week Log'!C5:C24)</f>
        <v/>
      </c>
      <c r="G5" s="7">
        <f>B5+F5</f>
        <v/>
      </c>
      <c r="H5" s="5">
        <f>MAX(0,E5-G5)</f>
        <v/>
      </c>
      <c r="I5" s="5">
        <f>ROUND(H5/2,1)</f>
        <v/>
      </c>
      <c r="J5" s="8">
        <f>IF(G5&gt;=E5,"CLEAR","+"&amp;TEXT(H5,"0")&amp;" needed")</f>
        <v/>
      </c>
    </row>
    <row r="6">
      <c r="A6" s="4" t="inlineStr">
        <is>
          <t>PDD (D.Daily)</t>
        </is>
      </c>
      <c r="B6" s="5" t="n">
        <v>356</v>
      </c>
      <c r="C6" s="6" t="n">
        <v>28</v>
      </c>
      <c r="D6" s="6" t="n">
        <v>200</v>
      </c>
      <c r="E6" s="5" t="n">
        <v>267</v>
      </c>
      <c r="F6" s="5">
        <f>SUM('Final Week Log'!H5:H24)</f>
        <v/>
      </c>
      <c r="G6" s="7">
        <f>B6+F6</f>
        <v/>
      </c>
      <c r="H6" s="5">
        <f>MAX(0,E6-G6)</f>
        <v/>
      </c>
      <c r="I6" s="5">
        <f>ROUND(H6/2,1)</f>
        <v/>
      </c>
      <c r="J6" s="8">
        <f>IF(G6&gt;=E6,"CLEAR","+"&amp;TEXT(H6,"0")&amp;" needed")</f>
        <v/>
      </c>
    </row>
    <row r="7">
      <c r="A7" s="4" t="inlineStr">
        <is>
          <t>Gold</t>
        </is>
      </c>
      <c r="B7" s="5" t="n">
        <v>119</v>
      </c>
      <c r="C7" s="6" t="n">
        <v>64</v>
      </c>
      <c r="D7" s="6" t="n">
        <v>68</v>
      </c>
      <c r="E7" s="5" t="n">
        <v>91</v>
      </c>
      <c r="F7" s="5">
        <f>SUM('Final Week Log'!F5:F24)</f>
        <v/>
      </c>
      <c r="G7" s="7">
        <f>B7+F7</f>
        <v/>
      </c>
      <c r="H7" s="5">
        <f>MAX(0,E7-G7)</f>
        <v/>
      </c>
      <c r="I7" s="5">
        <f>ROUND(H7/2,1)</f>
        <v/>
      </c>
      <c r="J7" s="8">
        <f>IF(G7&gt;=E7,"CLEAR","+"&amp;TEXT(H7,"0")&amp;" needed")</f>
        <v/>
      </c>
    </row>
    <row r="8">
      <c r="A8" s="4" t="inlineStr">
        <is>
          <t>Live</t>
        </is>
      </c>
      <c r="B8" s="5" t="n">
        <v>134</v>
      </c>
      <c r="C8" s="6" t="n">
        <v>87</v>
      </c>
      <c r="D8" s="6" t="n">
        <v>106</v>
      </c>
      <c r="E8" s="5" t="n">
        <v>141</v>
      </c>
      <c r="F8" s="5">
        <f>SUM('Final Week Log'!D5:D24)</f>
        <v/>
      </c>
      <c r="G8" s="7">
        <f>B8+F8</f>
        <v/>
      </c>
      <c r="H8" s="5">
        <f>MAX(0,E8-G8)</f>
        <v/>
      </c>
      <c r="I8" s="5">
        <f>ROUND(H8/2,1)</f>
        <v/>
      </c>
      <c r="J8" s="8">
        <f>IF(G8&gt;=E8,"CLEAR","+"&amp;TEXT(H8,"0")&amp;" needed")</f>
        <v/>
      </c>
    </row>
    <row r="9">
      <c r="A9" s="4" t="inlineStr">
        <is>
          <t>Cap</t>
        </is>
      </c>
      <c r="B9" s="5" t="n">
        <v>127</v>
      </c>
      <c r="C9" s="6" t="n">
        <v>103</v>
      </c>
      <c r="D9" s="6" t="n">
        <v>107</v>
      </c>
      <c r="E9" s="5" t="n">
        <v>143</v>
      </c>
      <c r="F9" s="5">
        <f>SUM('Final Week Log'!E5:E24)</f>
        <v/>
      </c>
      <c r="G9" s="7">
        <f>B9+F9</f>
        <v/>
      </c>
      <c r="H9" s="5">
        <f>MAX(0,E9-G9)</f>
        <v/>
      </c>
      <c r="I9" s="5">
        <f>ROUND(H9/2,1)</f>
        <v/>
      </c>
      <c r="J9" s="8">
        <f>IF(G9&gt;=E9,"CLEAR","+"&amp;TEXT(H9,"0")&amp;" needed")</f>
        <v/>
      </c>
    </row>
    <row r="10">
      <c r="A10" s="4" t="inlineStr">
        <is>
          <t>Silver</t>
        </is>
      </c>
      <c r="B10" s="5" t="n">
        <v>30</v>
      </c>
      <c r="C10" s="6" t="n">
        <v>286</v>
      </c>
      <c r="D10" s="6" t="n">
        <v>77</v>
      </c>
      <c r="E10" s="5" t="n">
        <v>103</v>
      </c>
      <c r="F10" s="5">
        <f>SUM('Final Week Log'!G5:G24)</f>
        <v/>
      </c>
      <c r="G10" s="7">
        <f>B10+F10</f>
        <v/>
      </c>
      <c r="H10" s="5">
        <f>MAX(0,E10-G10)</f>
        <v/>
      </c>
      <c r="I10" s="5">
        <f>ROUND(H10/2,1)</f>
        <v/>
      </c>
      <c r="J10" s="8">
        <f>IF(G10&gt;=E10,"CLEAR","+"&amp;TEXT(H10,"0")&amp;" needed")</f>
        <v/>
      </c>
    </row>
    <row r="11">
      <c r="A11" s="4" t="inlineStr">
        <is>
          <t>Open</t>
        </is>
      </c>
      <c r="B11" s="5" t="n">
        <v>7</v>
      </c>
      <c r="C11" s="6" t="n">
        <v>493</v>
      </c>
      <c r="D11" s="6" t="n">
        <v>77</v>
      </c>
      <c r="E11" s="5" t="n">
        <v>103</v>
      </c>
      <c r="F11" s="5">
        <f>SUM('Final Week Log'!I5:I24)</f>
        <v/>
      </c>
      <c r="G11" s="7">
        <f>B11+F11</f>
        <v/>
      </c>
      <c r="H11" s="5">
        <f>MAX(0,E11-G11)</f>
        <v/>
      </c>
      <c r="I11" s="5">
        <f>ROUND(H11/2,1)</f>
        <v/>
      </c>
      <c r="J11" s="8">
        <f>IF(G11&gt;=E11,"CLEAR","+"&amp;TEXT(H11,"0")&amp;" needed")</f>
        <v/>
      </c>
    </row>
    <row r="12">
      <c r="A12" s="9" t="inlineStr">
        <is>
          <t>W. Draft</t>
        </is>
      </c>
      <c r="B12" s="10" t="n">
        <v>6</v>
      </c>
      <c r="C12" s="11" t="n">
        <v>735</v>
      </c>
      <c r="D12" s="11" t="n">
        <v>58</v>
      </c>
      <c r="E12" s="10" t="n">
        <v>77</v>
      </c>
      <c r="F12" s="10">
        <f>SUM('Final Week Log'!J5:J24)</f>
        <v/>
      </c>
      <c r="G12" s="12">
        <f>B12+F12</f>
        <v/>
      </c>
      <c r="H12" s="10">
        <f>MAX(0,E12-G12)</f>
        <v/>
      </c>
      <c r="I12" s="10">
        <f>ROUND(H12/2,1)</f>
        <v/>
      </c>
      <c r="J12" s="13">
        <f>IF(G12&gt;=E12,"CLEAR","+"&amp;TEXT(H12,"0")&amp;" needed")</f>
        <v/>
      </c>
    </row>
    <row r="14">
      <c r="A14" s="14" t="inlineStr">
        <is>
          <t>Final week priorities</t>
        </is>
      </c>
    </row>
    <row r="15">
      <c r="A15" s="15" t="inlineStr">
        <is>
          <t>• CLEAR already: Diamond (244 vs 81 proj — rank 11), PDD (356 vs 267 — rank 28), Gold (119 vs 91).</t>
        </is>
      </c>
    </row>
    <row r="16">
      <c r="A16" s="15" t="inlineStr">
        <is>
          <t>• LIVE is the near-lock: +7 to the projected line. One Live-draft finish does it. Don't leave this one.</t>
        </is>
      </c>
    </row>
    <row r="17">
      <c r="A17" s="15" t="inlineStr">
        <is>
          <t>• CAP is the live fight: +16 after Monday's big +17. Your Diamond+Cap and Open+Cap games are carrying it.</t>
        </is>
      </c>
    </row>
    <row r="18">
      <c r="A18" s="15" t="inlineStr">
        <is>
          <t>• SILVER +73 and OPEN +96 in 6 days = ~12-16/day each. Reachable only if you go hard on Silver+Cap / Open+Cap games (they triple-dip).</t>
        </is>
      </c>
    </row>
    <row r="19">
      <c r="A19" s="15" t="inlineStr">
        <is>
          <t>• Best EV per your 368-entry history: Diamonds are Forever 4.46, Diamond &amp; Friends Slots 3.93 (also Cap), Daily Diamond 2.77.</t>
        </is>
      </c>
    </row>
    <row r="20">
      <c r="A20" s="15" t="inlineStr">
        <is>
          <t>• You score better in 64-team fields (2.72/entry) than 128s (1.75) — prefer 64s when both are open.</t>
        </is>
      </c>
    </row>
    <row r="21">
      <c r="A21" s="15" t="inlineStr">
        <is>
          <t>• Not chasing Bronze/Iron (per LJ).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6" customWidth="1" min="2" max="2"/>
    <col width="9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9" customWidth="1" min="10" max="10"/>
    <col width="62" customWidth="1" min="11" max="11"/>
  </cols>
  <sheetData>
    <row r="1">
      <c r="A1" s="1" t="inlineStr">
        <is>
          <t>PTCS 5 — FINAL WEEK (Jul 27 – Aug 2)</t>
        </is>
      </c>
    </row>
    <row r="2">
      <c r="A2" s="2" t="inlineStr">
        <is>
          <t>Base = OFFICIAL period standings thru Jul 26. Log only new points from Jul 27.</t>
        </is>
      </c>
    </row>
    <row r="4">
      <c r="A4" s="3" t="inlineStr">
        <is>
          <t>Date</t>
        </is>
      </c>
      <c r="B4" s="3" t="inlineStr">
        <is>
          <t>Day</t>
        </is>
      </c>
      <c r="C4" s="3" t="inlineStr">
        <is>
          <t>Diamond</t>
        </is>
      </c>
      <c r="D4" s="3" t="inlineStr">
        <is>
          <t>Live</t>
        </is>
      </c>
      <c r="E4" s="3" t="inlineStr">
        <is>
          <t>Cap</t>
        </is>
      </c>
      <c r="F4" s="3" t="inlineStr">
        <is>
          <t>Gold</t>
        </is>
      </c>
      <c r="G4" s="3" t="inlineStr">
        <is>
          <t>Silver</t>
        </is>
      </c>
      <c r="H4" s="3" t="inlineStr">
        <is>
          <t>PDD</t>
        </is>
      </c>
      <c r="I4" s="3" t="inlineStr">
        <is>
          <t>Open</t>
        </is>
      </c>
      <c r="J4" s="3" t="inlineStr">
        <is>
          <t>W.Draft</t>
        </is>
      </c>
      <c r="K4" s="3" t="inlineStr">
        <is>
          <t>Notes</t>
        </is>
      </c>
    </row>
    <row r="5">
      <c r="A5" s="16" t="inlineStr">
        <is>
          <t>Mon Jul 27</t>
        </is>
      </c>
      <c r="B5" s="16" t="inlineStr">
        <is>
          <t>Mon</t>
        </is>
      </c>
      <c r="C5" s="5" t="n">
        <v>10</v>
      </c>
      <c r="D5" s="5" t="n">
        <v>0</v>
      </c>
      <c r="E5" s="5" t="n">
        <v>17</v>
      </c>
      <c r="F5" s="5" t="n">
        <v>0</v>
      </c>
      <c r="G5" s="5" t="n">
        <v>6</v>
      </c>
      <c r="H5" s="5" t="n">
        <v>0</v>
      </c>
      <c r="I5" s="5" t="n">
        <v>7</v>
      </c>
      <c r="J5" s="5" t="n">
        <v>0</v>
      </c>
      <c r="K5" s="16" t="inlineStr">
        <is>
          <t>Dia Slots 3/4 +10C; Gold Floor Cap 9-16 +6 Open/Cap; Late Silver 9-16 +6</t>
        </is>
      </c>
    </row>
    <row r="6">
      <c r="A6" s="16" t="inlineStr">
        <is>
          <t>Tue Jul 28</t>
        </is>
      </c>
      <c r="B6" s="16" t="inlineStr">
        <is>
          <t>Tue</t>
        </is>
      </c>
      <c r="C6" s="5" t="n">
        <v>3</v>
      </c>
      <c r="D6" s="5" t="n">
        <v>1</v>
      </c>
      <c r="E6" s="5" t="n">
        <v>3</v>
      </c>
      <c r="F6" s="5" t="n">
        <v>0</v>
      </c>
      <c r="G6" s="5" t="n">
        <v>7</v>
      </c>
      <c r="H6" s="5" t="n">
        <v>0</v>
      </c>
      <c r="I6" s="5" t="n">
        <v>0</v>
      </c>
      <c r="J6" s="5" t="n">
        <v>1</v>
      </c>
      <c r="K6" s="16" t="inlineStr">
        <is>
          <t>Silver Heart 9-16 +3; Late Silver 17-32 +3; Slamboree +1; Dia Slots 9-16 +3C</t>
        </is>
      </c>
    </row>
    <row r="7">
      <c r="A7" s="16" t="inlineStr">
        <is>
          <t>Wed Jul 29</t>
        </is>
      </c>
      <c r="B7" s="16" t="inlineStr">
        <is>
          <t>Wed</t>
        </is>
      </c>
      <c r="C7" s="5" t="n">
        <v>12</v>
      </c>
      <c r="D7" s="5" t="n">
        <v>5</v>
      </c>
      <c r="E7" s="5" t="n">
        <v>0</v>
      </c>
      <c r="F7" s="5" t="n">
        <v>0</v>
      </c>
      <c r="G7" s="5" t="n">
        <v>3</v>
      </c>
      <c r="H7" s="5" t="n">
        <v>11</v>
      </c>
      <c r="I7" s="5" t="n">
        <v>0</v>
      </c>
      <c r="J7" s="5" t="n">
        <v>0</v>
      </c>
      <c r="K7" s="16" t="inlineStr">
        <is>
          <t>Wed Ice 17-32 +6D; Dia Heart 9-16 +6D; Speed Run 9-16 +3L/+3P; Laptophound 9-16 +6P</t>
        </is>
      </c>
    </row>
    <row r="8">
      <c r="A8" s="16" t="inlineStr">
        <is>
          <t>Thu Jul 30</t>
        </is>
      </c>
      <c r="B8" s="16" t="inlineStr">
        <is>
          <t>Thu</t>
        </is>
      </c>
      <c r="C8" s="5" t="n">
        <v>7</v>
      </c>
      <c r="D8" s="5" t="n">
        <v>0</v>
      </c>
      <c r="E8" s="5" t="n">
        <v>12</v>
      </c>
      <c r="F8" s="5" t="n">
        <v>0</v>
      </c>
      <c r="G8" s="5" t="n">
        <v>7</v>
      </c>
      <c r="H8" s="5" t="n">
        <v>3</v>
      </c>
      <c r="I8" s="5" t="n">
        <v>0</v>
      </c>
      <c r="J8" s="5" t="n">
        <v>0</v>
      </c>
      <c r="K8" s="16" t="inlineStr">
        <is>
          <t>Dia Slots 5-8 +6D/+6C; Silver&amp;Friends 9-16 +6S/+6C; Slamboree +1S; Busy 9-16 +3P</t>
        </is>
      </c>
    </row>
    <row r="9">
      <c r="A9" s="16" t="inlineStr">
        <is>
          <t>Fri Jul 31</t>
        </is>
      </c>
      <c r="B9" s="16" t="inlineStr">
        <is>
          <t>Fri</t>
        </is>
      </c>
      <c r="C9" s="5" t="n">
        <v>0</v>
      </c>
      <c r="D9" s="5" t="n">
        <v>0</v>
      </c>
      <c r="E9" s="5" t="n">
        <v>3</v>
      </c>
      <c r="F9" s="5" t="n">
        <v>0</v>
      </c>
      <c r="G9" s="5" t="n">
        <v>6</v>
      </c>
      <c r="H9" s="5" t="n">
        <v>1</v>
      </c>
      <c r="I9" s="5" t="n">
        <v>0</v>
      </c>
      <c r="J9" s="5" t="n">
        <v>10</v>
      </c>
      <c r="K9" s="16" t="inlineStr">
        <is>
          <t>Late Silver 17-32 +3S; Friday Nightmare Cap 17-32 (128) +3S/+3C; PD Weekly 9-16 +10 WD</t>
        </is>
      </c>
    </row>
    <row r="10">
      <c r="A10" s="16" t="inlineStr">
        <is>
          <t>Fri Jul 31 (pm)</t>
        </is>
      </c>
      <c r="B10" s="16" t="inlineStr">
        <is>
          <t>Fri</t>
        </is>
      </c>
      <c r="C10" s="5" t="n">
        <v>0</v>
      </c>
      <c r="D10" s="5" t="n">
        <v>1</v>
      </c>
      <c r="E10" s="5" t="n">
        <v>1</v>
      </c>
      <c r="F10" s="5" t="n">
        <v>0</v>
      </c>
      <c r="G10" s="5" t="n">
        <v>2</v>
      </c>
      <c r="H10" s="5" t="n">
        <v>0</v>
      </c>
      <c r="I10" s="5" t="n">
        <v>0</v>
      </c>
      <c r="J10" s="5" t="n">
        <v>0</v>
      </c>
      <c r="K10" s="16" t="inlineStr">
        <is>
          <t>Live Silver 33-64 (128) +1L/+1S; Silver Slots 17-32 +1S/+1C</t>
        </is>
      </c>
    </row>
    <row r="11">
      <c r="A11" s="16" t="inlineStr">
        <is>
          <t>Sat Aug 1</t>
        </is>
      </c>
      <c r="B11" s="16" t="inlineStr">
        <is>
          <t>Sat</t>
        </is>
      </c>
      <c r="C11" s="5" t="n">
        <v>6</v>
      </c>
      <c r="D11" s="5" t="n">
        <v>21</v>
      </c>
      <c r="E11" s="5" t="n">
        <v>4</v>
      </c>
      <c r="F11" s="5" t="n">
        <v>0</v>
      </c>
      <c r="G11" s="5" t="n">
        <v>19</v>
      </c>
      <c r="H11" s="5" t="n">
        <v>25</v>
      </c>
      <c r="I11" s="5" t="n">
        <v>0</v>
      </c>
      <c r="J11" s="5" t="n">
        <v>10</v>
      </c>
      <c r="K11" s="16" t="inlineStr">
        <is>
          <t>Late Silver semi 3/4 +15S; Live All Night 2nd +15L/+15P; Breakfast 5-8 +6L/+6P; Slamboree 17-32 +3S</t>
        </is>
      </c>
    </row>
    <row r="12">
      <c r="A12" s="16" t="inlineStr">
        <is>
          <t>Sun Aug 2</t>
        </is>
      </c>
      <c r="B12" s="16" t="inlineStr">
        <is>
          <t>Sun</t>
        </is>
      </c>
      <c r="C12" s="5" t="n">
        <v>0</v>
      </c>
      <c r="D12" s="5" t="n">
        <v>3</v>
      </c>
      <c r="E12" s="5" t="n">
        <v>3</v>
      </c>
      <c r="F12" s="5" t="n">
        <v>0</v>
      </c>
      <c r="G12" s="5" t="n">
        <v>4</v>
      </c>
      <c r="H12" s="5" t="n">
        <v>3</v>
      </c>
      <c r="I12" s="5" t="n">
        <v>0</v>
      </c>
      <c r="J12" s="5" t="n">
        <v>0</v>
      </c>
      <c r="K12" s="16" t="inlineStr">
        <is>
          <t>FINAL DAY - Live All Night 9-16 +3L/+3P; Slamboree Rd2 +1S; Deadball Rd3 +3S/+3C</t>
        </is>
      </c>
    </row>
    <row r="13">
      <c r="A13" s="8" t="inlineStr"/>
      <c r="B13" s="8" t="inlineStr"/>
      <c r="C13" s="8" t="inlineStr"/>
      <c r="D13" s="8" t="inlineStr"/>
      <c r="E13" s="8" t="inlineStr"/>
      <c r="F13" s="8" t="inlineStr"/>
      <c r="G13" s="8" t="inlineStr"/>
      <c r="H13" s="8" t="inlineStr"/>
      <c r="I13" s="8" t="inlineStr"/>
      <c r="J13" s="8" t="inlineStr"/>
      <c r="K13" s="8" t="inlineStr"/>
    </row>
    <row r="14">
      <c r="A14" s="8" t="inlineStr"/>
      <c r="B14" s="8" t="inlineStr"/>
      <c r="C14" s="8" t="inlineStr"/>
      <c r="D14" s="8" t="inlineStr"/>
      <c r="E14" s="8" t="inlineStr"/>
      <c r="F14" s="8" t="inlineStr"/>
      <c r="G14" s="8" t="inlineStr"/>
      <c r="H14" s="8" t="inlineStr"/>
      <c r="I14" s="8" t="inlineStr"/>
      <c r="J14" s="8" t="inlineStr"/>
      <c r="K14" s="8" t="inlineStr"/>
    </row>
    <row r="15">
      <c r="A15" s="8" t="inlineStr"/>
      <c r="B15" s="8" t="inlineStr"/>
      <c r="C15" s="8" t="inlineStr"/>
      <c r="D15" s="8" t="inlineStr"/>
      <c r="E15" s="8" t="inlineStr"/>
      <c r="F15" s="8" t="inlineStr"/>
      <c r="G15" s="8" t="inlineStr"/>
      <c r="H15" s="8" t="inlineStr"/>
      <c r="I15" s="8" t="inlineStr"/>
      <c r="J15" s="8" t="inlineStr"/>
      <c r="K15" s="8" t="inlineStr"/>
    </row>
    <row r="16">
      <c r="A16" s="8" t="inlineStr"/>
      <c r="B16" s="8" t="inlineStr"/>
      <c r="C16" s="8" t="inlineStr"/>
      <c r="D16" s="8" t="inlineStr"/>
      <c r="E16" s="8" t="inlineStr"/>
      <c r="F16" s="8" t="inlineStr"/>
      <c r="G16" s="8" t="inlineStr"/>
      <c r="H16" s="8" t="inlineStr"/>
      <c r="I16" s="8" t="inlineStr"/>
      <c r="J16" s="8" t="inlineStr"/>
      <c r="K16" s="8" t="inlineStr"/>
    </row>
    <row r="17">
      <c r="A17" s="8" t="inlineStr"/>
      <c r="B17" s="8" t="inlineStr"/>
      <c r="C17" s="8" t="inlineStr"/>
      <c r="D17" s="8" t="inlineStr"/>
      <c r="E17" s="8" t="inlineStr"/>
      <c r="F17" s="8" t="inlineStr"/>
      <c r="G17" s="8" t="inlineStr"/>
      <c r="H17" s="8" t="inlineStr"/>
      <c r="I17" s="8" t="inlineStr"/>
      <c r="J17" s="8" t="inlineStr"/>
      <c r="K17" s="8" t="inlineStr"/>
    </row>
    <row r="18">
      <c r="A18" s="8" t="inlineStr"/>
      <c r="B18" s="8" t="inlineStr"/>
      <c r="C18" s="8" t="inlineStr"/>
      <c r="D18" s="8" t="inlineStr"/>
      <c r="E18" s="8" t="inlineStr"/>
      <c r="F18" s="8" t="inlineStr"/>
      <c r="G18" s="8" t="inlineStr"/>
      <c r="H18" s="8" t="inlineStr"/>
      <c r="I18" s="8" t="inlineStr"/>
      <c r="J18" s="8" t="inlineStr"/>
      <c r="K18" s="8" t="inlineStr"/>
    </row>
    <row r="19">
      <c r="A19" s="8" t="inlineStr"/>
      <c r="B19" s="8" t="inlineStr"/>
      <c r="C19" s="8" t="inlineStr"/>
      <c r="D19" s="8" t="inlineStr"/>
      <c r="E19" s="8" t="inlineStr"/>
      <c r="F19" s="8" t="inlineStr"/>
      <c r="G19" s="8" t="inlineStr"/>
      <c r="H19" s="8" t="inlineStr"/>
      <c r="I19" s="8" t="inlineStr"/>
      <c r="J19" s="8" t="inlineStr"/>
      <c r="K19" s="8" t="inlineStr"/>
    </row>
    <row r="20">
      <c r="A20" s="8" t="inlineStr"/>
      <c r="B20" s="8" t="inlineStr"/>
      <c r="C20" s="8" t="inlineStr"/>
      <c r="D20" s="8" t="inlineStr"/>
      <c r="E20" s="8" t="inlineStr"/>
      <c r="F20" s="8" t="inlineStr"/>
      <c r="G20" s="8" t="inlineStr"/>
      <c r="H20" s="8" t="inlineStr"/>
      <c r="I20" s="8" t="inlineStr"/>
      <c r="J20" s="8" t="inlineStr"/>
      <c r="K20" s="8" t="inlineStr"/>
    </row>
    <row r="21">
      <c r="A21" s="8" t="inlineStr"/>
      <c r="B21" s="8" t="inlineStr"/>
      <c r="C21" s="8" t="inlineStr"/>
      <c r="D21" s="8" t="inlineStr"/>
      <c r="E21" s="8" t="inlineStr"/>
      <c r="F21" s="8" t="inlineStr"/>
      <c r="G21" s="8" t="inlineStr"/>
      <c r="H21" s="8" t="inlineStr"/>
      <c r="I21" s="8" t="inlineStr"/>
      <c r="J21" s="8" t="inlineStr"/>
      <c r="K21" s="8" t="inlineStr"/>
    </row>
    <row r="22">
      <c r="A22" s="8" t="inlineStr"/>
      <c r="B22" s="8" t="inlineStr"/>
      <c r="C22" s="8" t="inlineStr"/>
      <c r="D22" s="8" t="inlineStr"/>
      <c r="E22" s="8" t="inlineStr"/>
      <c r="F22" s="8" t="inlineStr"/>
      <c r="G22" s="8" t="inlineStr"/>
      <c r="H22" s="8" t="inlineStr"/>
      <c r="I22" s="8" t="inlineStr"/>
      <c r="J22" s="8" t="inlineStr"/>
      <c r="K22" s="8" t="inlineStr"/>
    </row>
    <row r="23">
      <c r="A23" s="8" t="inlineStr"/>
      <c r="B23" s="8" t="inlineStr"/>
      <c r="C23" s="8" t="inlineStr"/>
      <c r="D23" s="8" t="inlineStr"/>
      <c r="E23" s="8" t="inlineStr"/>
      <c r="F23" s="8" t="inlineStr"/>
      <c r="G23" s="8" t="inlineStr"/>
      <c r="H23" s="8" t="inlineStr"/>
      <c r="I23" s="8" t="inlineStr"/>
      <c r="J23" s="8" t="inlineStr"/>
      <c r="K23" s="8" t="inlineStr"/>
    </row>
    <row r="24">
      <c r="A24" s="8" t="inlineStr"/>
      <c r="B24" s="8" t="inlineStr"/>
      <c r="C24" s="8" t="inlineStr"/>
      <c r="D24" s="8" t="inlineStr"/>
      <c r="E24" s="8" t="inlineStr"/>
      <c r="F24" s="8" t="inlineStr"/>
      <c r="G24" s="8" t="inlineStr"/>
      <c r="H24" s="8" t="inlineStr"/>
      <c r="I24" s="8" t="inlineStr"/>
      <c r="J24" s="8" t="inlineStr"/>
      <c r="K24" s="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2026-08-02T21:52:42Z</dcterms:created>
  <dcterms:modified xmlns:dcterms="http://purl.org/dc/terms/" xmlns:xsi="http://www.w3.org/2001/XMLSchema-instance" xsi:type="dcterms:W3CDTF">2026-08-02T21:52:42Z</dcterms:modified>
</cp:coreProperties>
</file>