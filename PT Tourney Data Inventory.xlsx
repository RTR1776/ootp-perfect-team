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s" sheetId="1" state="visible" r:id="rId1"/>
    <sheet xmlns:r="http://schemas.openxmlformats.org/officeDocument/2006/relationships" name="Perfect Draf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'Tournaments'!$A$4:$Q$138</definedName>
    <definedName name="_xlnm._FilterDatabase" localSheetId="1" hidden="1">'Perfect Drafts'!$A$4:$Q$65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F49"/>
      <sz val="14"/>
    </font>
    <font>
      <name val="Arial"/>
      <i val="1"/>
      <color rgb="005A6E71"/>
      <sz val="9"/>
    </font>
    <font>
      <name val="Arial"/>
      <b val="1"/>
      <color rgb="00FFFFFF"/>
      <sz val="9"/>
    </font>
    <font>
      <name val="Arial"/>
      <sz val="9.5"/>
    </font>
    <font>
      <name val="Arial"/>
      <b val="1"/>
      <sz val="9.5"/>
    </font>
    <font>
      <name val="Arial"/>
      <b val="1"/>
      <color rgb="009C3A1E"/>
      <sz val="9.5"/>
    </font>
    <font>
      <name val="Arial"/>
      <i val="1"/>
      <color rgb="007A6A55"/>
      <sz val="9"/>
    </font>
    <font>
      <name val="Arial"/>
      <b val="1"/>
      <color rgb="009C3A1E"/>
      <sz val="9"/>
    </font>
    <font>
      <name val="Arial"/>
      <b val="1"/>
      <sz val="10"/>
    </font>
    <font>
      <name val="Arial"/>
      <sz val="10"/>
    </font>
    <font>
      <name val="Arial"/>
      <color rgb="00333333"/>
      <sz val="10"/>
    </font>
    <font>
      <name val="Arial"/>
      <b val="1"/>
      <color rgb="001F3F49"/>
      <sz val="10"/>
    </font>
  </fonts>
  <fills count="15">
    <fill>
      <patternFill/>
    </fill>
    <fill>
      <patternFill patternType="gray125"/>
    </fill>
    <fill>
      <patternFill patternType="solid">
        <fgColor rgb="001F3F49"/>
      </patternFill>
    </fill>
    <fill>
      <patternFill patternType="solid">
        <fgColor rgb="00E4ECF7"/>
      </patternFill>
    </fill>
    <fill>
      <patternFill patternType="solid">
        <fgColor rgb="00FCF0D8"/>
      </patternFill>
    </fill>
    <fill>
      <patternFill patternType="solid">
        <fgColor rgb="00D8ECE0"/>
      </patternFill>
    </fill>
    <fill>
      <patternFill patternType="solid">
        <fgColor rgb="00FBE3DC"/>
      </patternFill>
    </fill>
    <fill>
      <patternFill patternType="solid">
        <fgColor rgb="00FBF1DA"/>
      </patternFill>
    </fill>
    <fill>
      <patternFill patternType="solid">
        <fgColor rgb="00EDEFF0"/>
      </patternFill>
    </fill>
    <fill>
      <patternFill patternType="solid">
        <fgColor rgb="00F6E7DC"/>
      </patternFill>
    </fill>
    <fill>
      <patternFill patternType="solid">
        <fgColor rgb="00E9E9E7"/>
      </patternFill>
    </fill>
    <fill>
      <patternFill patternType="solid">
        <fgColor rgb="00E7F1EC"/>
      </patternFill>
    </fill>
    <fill>
      <patternFill patternType="solid">
        <fgColor rgb="00F3E8F2"/>
      </patternFill>
    </fill>
    <fill>
      <patternFill patternType="solid">
        <fgColor rgb="00EAF0F1"/>
      </patternFill>
    </fill>
    <fill>
      <patternFill patternType="solid">
        <fgColor rgb="00F2F2F0"/>
      </patternFill>
    </fill>
  </fills>
  <borders count="2">
    <border>
      <left/>
      <right/>
      <top/>
      <bottom/>
      <diagonal/>
    </border>
    <border>
      <bottom style="thin">
        <color rgb="00C8D4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7" fillId="0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  <xf numFmtId="0" fontId="5" fillId="13" borderId="1" pivotButton="0" quotePrefix="0" xfId="0"/>
    <xf numFmtId="0" fontId="8" fillId="0" borderId="1" pivotButton="0" quotePrefix="0" xfId="0"/>
    <xf numFmtId="0" fontId="5" fillId="14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7" customWidth="1" min="3" max="3"/>
    <col width="20" customWidth="1" min="4" max="4"/>
    <col width="9" customWidth="1" min="5" max="5"/>
    <col width="7" customWidth="1" min="6" max="6"/>
    <col width="9" customWidth="1" min="7" max="7"/>
    <col width="11" customWidth="1" min="8" max="8"/>
    <col width="8" customWidth="1" min="9" max="9"/>
    <col width="10" customWidth="1" min="10" max="10"/>
    <col width="44" customWidth="1" min="11" max="11"/>
    <col width="9" customWidth="1" min="12" max="12"/>
    <col width="7" customWidth="1" min="13" max="13"/>
    <col width="9" customWidth="1" min="14" max="14"/>
    <col width="8" customWidth="1" min="15" max="15"/>
    <col width="34" customWidth="1" min="16" max="16"/>
    <col width="20" customWidth="1" min="17" max="17"/>
  </cols>
  <sheetData>
    <row r="1">
      <c r="A1" s="1" t="inlineStr">
        <is>
          <t>Tournaments — stat-export coverage</t>
        </is>
      </c>
    </row>
    <row r="2">
      <c r="A2" s="2" t="inlineStr">
        <is>
          <t>Diamond → Gold → Silver → Bronze → Iron → Open → Live → Cap → Other (card level wins over Cap/Live tags); inside each tier, events with data first, then by how often you play them, retired ones last. "Event ids still grabbable" = runs from the last 7 days you do NOT have, the only ones OOTP will still export. Generated 2026-09-07.</t>
        </is>
      </c>
    </row>
    <row r="4" ht="30" customHeight="1">
      <c r="A4" s="3" t="inlineStr">
        <is>
          <t>Tier</t>
        </is>
      </c>
      <c r="B4" s="3" t="inlineStr">
        <is>
          <t>Tournament</t>
        </is>
      </c>
      <c r="C4" s="3" t="inlineStr">
        <is>
          <t>PT id</t>
        </is>
      </c>
      <c r="D4" s="3" t="inlineStr">
        <is>
          <t>Series (file name)</t>
        </is>
      </c>
      <c r="E4" s="3" t="inlineStr">
        <is>
          <t>Runs on file</t>
        </is>
      </c>
      <c r="F4" s="3" t="inlineStr">
        <is>
          <t>Files</t>
        </is>
      </c>
      <c r="G4" s="3" t="inlineStr">
        <is>
          <t>Latest run</t>
        </is>
      </c>
      <c r="H4" s="3" t="inlineStr">
        <is>
          <t>Latest date</t>
        </is>
      </c>
      <c r="I4" s="3" t="inlineStr">
        <is>
          <t>Days old</t>
        </is>
      </c>
      <c r="J4" s="3" t="inlineStr">
        <is>
          <t>Missing last 7d</t>
        </is>
      </c>
      <c r="K4" s="3" t="inlineStr">
        <is>
          <t>Event ids still grabbable</t>
        </is>
      </c>
      <c r="L4" s="3" t="inlineStr">
        <is>
          <t>Card cap</t>
        </is>
      </c>
      <c r="M4" s="3" t="inlineStr">
        <is>
          <t>Field</t>
        </is>
      </c>
      <c r="N4" s="3" t="inlineStr">
        <is>
          <t>My entries</t>
        </is>
      </c>
      <c r="O4" s="3" t="inlineStr">
        <is>
          <t>My pts</t>
        </is>
      </c>
      <c r="P4" s="3" t="inlineStr">
        <is>
          <t>Still running?</t>
        </is>
      </c>
      <c r="Q4" s="3" t="inlineStr">
        <is>
          <t>Run numbering</t>
        </is>
      </c>
    </row>
    <row r="5">
      <c r="A5" s="4" t="inlineStr">
        <is>
          <t>Diamond</t>
        </is>
      </c>
      <c r="B5" s="5" t="inlineStr">
        <is>
          <t>Daily Diamond Heart</t>
        </is>
      </c>
      <c r="C5" s="5" t="inlineStr">
        <is>
          <t>185</t>
        </is>
      </c>
      <c r="D5" s="5" t="inlineStr">
        <is>
          <t>diamondheart</t>
        </is>
      </c>
      <c r="E5" s="6" t="n">
        <v>22</v>
      </c>
      <c r="F5" s="7" t="n">
        <v>22</v>
      </c>
      <c r="G5" s="6" t="n">
        <v>150</v>
      </c>
      <c r="H5" s="5" t="inlineStr">
        <is>
          <t>2026-08-28</t>
        </is>
      </c>
      <c r="I5" s="6" t="n">
        <v>10</v>
      </c>
      <c r="J5" s="6" t="n">
        <v>7</v>
      </c>
      <c r="K5" s="5" t="inlineStr">
        <is>
          <t>1850154, 1850155, 1850156, 1850157, 1850158, 1850159, 1850160</t>
        </is>
      </c>
      <c r="L5" s="5" t="inlineStr">
        <is>
          <t>40-99</t>
        </is>
      </c>
      <c r="M5" s="6" t="n">
        <v>128</v>
      </c>
      <c r="N5" s="6" t="n">
        <v>73</v>
      </c>
      <c r="O5" s="6" t="n">
        <v>191</v>
      </c>
      <c r="P5" s="5" t="inlineStr">
        <is>
          <t>yes</t>
        </is>
      </c>
      <c r="Q5" s="5" t="inlineStr">
        <is>
          <t>matches</t>
        </is>
      </c>
    </row>
    <row r="6">
      <c r="A6" s="4" t="inlineStr">
        <is>
          <t>Diamond</t>
        </is>
      </c>
      <c r="B6" s="5" t="inlineStr">
        <is>
          <t>Daily Low Diamond</t>
        </is>
      </c>
      <c r="C6" s="5" t="inlineStr">
        <is>
          <t>134</t>
        </is>
      </c>
      <c r="D6" s="5" t="inlineStr">
        <is>
          <t>lowdiamonddaily</t>
        </is>
      </c>
      <c r="E6" s="6" t="n">
        <v>20</v>
      </c>
      <c r="F6" s="7" t="n">
        <v>20</v>
      </c>
      <c r="G6" s="6" t="n">
        <v>160</v>
      </c>
      <c r="H6" s="5" t="inlineStr">
        <is>
          <t>2026-08-21</t>
        </is>
      </c>
      <c r="I6" s="6" t="n">
        <v>17</v>
      </c>
      <c r="J6" s="6" t="n">
        <v>7</v>
      </c>
      <c r="K6" s="5" t="inlineStr">
        <is>
          <t>1340171, 1340172, 1340173, 1340174, 1340175, 1340176, 1340177</t>
        </is>
      </c>
      <c r="L6" s="5" t="inlineStr">
        <is>
          <t>40-94</t>
        </is>
      </c>
      <c r="M6" s="6" t="n">
        <v>128</v>
      </c>
      <c r="N6" s="6" t="n">
        <v>59</v>
      </c>
      <c r="O6" s="6" t="n">
        <v>93</v>
      </c>
      <c r="P6" s="5" t="inlineStr">
        <is>
          <t>yes</t>
        </is>
      </c>
      <c r="Q6" s="5" t="inlineStr">
        <is>
          <t>matches</t>
        </is>
      </c>
    </row>
    <row r="7">
      <c r="A7" s="4" t="inlineStr">
        <is>
          <t>Diamond</t>
        </is>
      </c>
      <c r="B7" s="5" t="inlineStr">
        <is>
          <t>Daily Diamond Slots</t>
        </is>
      </c>
      <c r="C7" s="5" t="inlineStr">
        <is>
          <t>180</t>
        </is>
      </c>
      <c r="D7" s="5" t="inlineStr">
        <is>
          <t>diamondslotsdaily</t>
        </is>
      </c>
      <c r="E7" s="6" t="n">
        <v>28</v>
      </c>
      <c r="F7" s="7" t="n">
        <v>28</v>
      </c>
      <c r="G7" s="6" t="n">
        <v>167</v>
      </c>
      <c r="H7" s="5" t="inlineStr">
        <is>
          <t>2026-08-27</t>
        </is>
      </c>
      <c r="I7" s="6" t="n">
        <v>11</v>
      </c>
      <c r="J7" s="6" t="n">
        <v>7</v>
      </c>
      <c r="K7" s="5" t="inlineStr">
        <is>
          <t>1800172, 1800173, 1800174, 1800175, 1800176, 1800177, 1800178</t>
        </is>
      </c>
      <c r="L7" s="5" t="inlineStr">
        <is>
          <t>40-99</t>
        </is>
      </c>
      <c r="M7" s="6" t="n">
        <v>64</v>
      </c>
      <c r="N7" s="6" t="n">
        <v>54</v>
      </c>
      <c r="O7" s="6" t="n">
        <v>111</v>
      </c>
      <c r="P7" s="5" t="inlineStr">
        <is>
          <t>yes</t>
        </is>
      </c>
      <c r="Q7" s="5" t="inlineStr">
        <is>
          <t>matches</t>
        </is>
      </c>
    </row>
    <row r="8">
      <c r="A8" s="4" t="inlineStr">
        <is>
          <t>Diamond</t>
        </is>
      </c>
      <c r="B8" s="5" t="inlineStr">
        <is>
          <t>Daily Diamonds are Forever</t>
        </is>
      </c>
      <c r="C8" s="5" t="inlineStr">
        <is>
          <t>167</t>
        </is>
      </c>
      <c r="D8" s="5" t="inlineStr">
        <is>
          <t>diamondsforever</t>
        </is>
      </c>
      <c r="E8" s="6" t="n">
        <v>31</v>
      </c>
      <c r="F8" s="7" t="n">
        <v>31</v>
      </c>
      <c r="G8" s="6" t="n">
        <v>158</v>
      </c>
      <c r="H8" s="5" t="inlineStr">
        <is>
          <t>2026-08-23</t>
        </is>
      </c>
      <c r="I8" s="6" t="n">
        <v>15</v>
      </c>
      <c r="J8" s="6" t="n">
        <v>7</v>
      </c>
      <c r="K8" s="5" t="inlineStr">
        <is>
          <t>1670167, 1670168, 1670169, 1670170, 1670171, 1670172, 1670173</t>
        </is>
      </c>
      <c r="L8" s="5" t="inlineStr">
        <is>
          <t>40-99</t>
        </is>
      </c>
      <c r="M8" s="6" t="n">
        <v>64</v>
      </c>
      <c r="N8" s="6" t="n">
        <v>51</v>
      </c>
      <c r="O8" s="6" t="n">
        <v>223</v>
      </c>
      <c r="P8" s="5" t="inlineStr">
        <is>
          <t>yes</t>
        </is>
      </c>
      <c r="Q8" s="5" t="inlineStr">
        <is>
          <t>matches</t>
        </is>
      </c>
    </row>
    <row r="9">
      <c r="A9" s="4" t="inlineStr">
        <is>
          <t>Diamond</t>
        </is>
      </c>
      <c r="B9" s="5" t="inlineStr">
        <is>
          <t>Daily Diamond &amp; Friends Slots</t>
        </is>
      </c>
      <c r="C9" s="5" t="inlineStr">
        <is>
          <t>192</t>
        </is>
      </c>
      <c r="D9" s="5" t="inlineStr">
        <is>
          <t>diamondandfriends</t>
        </is>
      </c>
      <c r="E9" s="6" t="n">
        <v>7</v>
      </c>
      <c r="F9" s="7" t="n">
        <v>7</v>
      </c>
      <c r="G9" s="6" t="n">
        <v>46</v>
      </c>
      <c r="H9" s="5" t="inlineStr">
        <is>
          <t>2026-07-12</t>
        </is>
      </c>
      <c r="I9" s="6" t="n">
        <v>57</v>
      </c>
      <c r="J9" s="6" t="n">
        <v>7</v>
      </c>
      <c r="K9" s="5" t="inlineStr">
        <is>
          <t>1920097, 1920098, 1920099, 1920100, 1920101, 1920102, 1920103</t>
        </is>
      </c>
      <c r="L9" s="5" t="inlineStr"/>
      <c r="M9" s="6" t="n">
        <v>64</v>
      </c>
      <c r="N9" s="6" t="n">
        <v>45</v>
      </c>
      <c r="O9" s="6" t="n">
        <v>161</v>
      </c>
      <c r="P9" s="5" t="inlineStr">
        <is>
          <t>yes</t>
        </is>
      </c>
      <c r="Q9" s="5" t="inlineStr">
        <is>
          <t>matches</t>
        </is>
      </c>
    </row>
    <row r="10">
      <c r="A10" s="4" t="inlineStr">
        <is>
          <t>Diamond</t>
        </is>
      </c>
      <c r="B10" s="5" t="inlineStr">
        <is>
          <t>Daily Diamond</t>
        </is>
      </c>
      <c r="C10" s="5" t="inlineStr">
        <is>
          <t>133</t>
        </is>
      </c>
      <c r="D10" s="5" t="inlineStr">
        <is>
          <t>diamonddaily</t>
        </is>
      </c>
      <c r="E10" s="6" t="n">
        <v>18</v>
      </c>
      <c r="F10" s="7" t="n">
        <v>18</v>
      </c>
      <c r="G10" s="6" t="n">
        <v>119</v>
      </c>
      <c r="H10" s="5" t="inlineStr">
        <is>
          <t>2026-07-11</t>
        </is>
      </c>
      <c r="I10" s="6" t="n">
        <v>58</v>
      </c>
      <c r="J10" s="6" t="n">
        <v>7</v>
      </c>
      <c r="K10" s="5" t="inlineStr">
        <is>
          <t>1330171, 1330172, 1330173, 1330174, 1330175, 1330176, 1330177</t>
        </is>
      </c>
      <c r="L10" s="5" t="inlineStr">
        <is>
          <t>40-99</t>
        </is>
      </c>
      <c r="M10" s="6" t="n">
        <v>64</v>
      </c>
      <c r="N10" s="6" t="n">
        <v>43</v>
      </c>
      <c r="O10" s="6" t="n">
        <v>119</v>
      </c>
      <c r="P10" s="5" t="inlineStr">
        <is>
          <t>yes</t>
        </is>
      </c>
      <c r="Q10" s="5" t="inlineStr">
        <is>
          <t>matches</t>
        </is>
      </c>
    </row>
    <row r="11">
      <c r="A11" s="4" t="inlineStr">
        <is>
          <t>Diamond</t>
        </is>
      </c>
      <c r="B11" s="5" t="inlineStr">
        <is>
          <t>Daily Live Diamond</t>
        </is>
      </c>
      <c r="C11" s="5" t="inlineStr">
        <is>
          <t>136</t>
        </is>
      </c>
      <c r="D11" s="5" t="inlineStr">
        <is>
          <t>livediamonddaily</t>
        </is>
      </c>
      <c r="E11" s="6" t="n">
        <v>12</v>
      </c>
      <c r="F11" s="7" t="n">
        <v>12</v>
      </c>
      <c r="G11" s="6" t="n">
        <v>108</v>
      </c>
      <c r="H11" s="5" t="inlineStr">
        <is>
          <t>2026-06-30</t>
        </is>
      </c>
      <c r="I11" s="6" t="n">
        <v>69</v>
      </c>
      <c r="J11" s="6" t="n">
        <v>7</v>
      </c>
      <c r="K11" s="5" t="inlineStr">
        <is>
          <t>1360171, 1360172, 1360173, 1360174, 1360175, 1360176, 1360177</t>
        </is>
      </c>
      <c r="L11" s="5" t="inlineStr">
        <is>
          <t>40-99</t>
        </is>
      </c>
      <c r="M11" s="6" t="n">
        <v>64</v>
      </c>
      <c r="N11" s="6" t="n">
        <v>27</v>
      </c>
      <c r="O11" s="6" t="n">
        <v>69</v>
      </c>
      <c r="P11" s="5" t="inlineStr">
        <is>
          <t>yes</t>
        </is>
      </c>
      <c r="Q11" s="5" t="inlineStr">
        <is>
          <t>matches</t>
        </is>
      </c>
    </row>
    <row r="12">
      <c r="A12" s="4" t="inlineStr">
        <is>
          <t>Diamond</t>
        </is>
      </c>
      <c r="B12" s="5" t="inlineStr">
        <is>
          <t>Wednesday Ice to See You</t>
        </is>
      </c>
      <c r="C12" s="5" t="inlineStr">
        <is>
          <t>149</t>
        </is>
      </c>
      <c r="D12" s="5" t="inlineStr">
        <is>
          <t>diamondweekly</t>
        </is>
      </c>
      <c r="E12" s="6" t="n">
        <v>3</v>
      </c>
      <c r="F12" s="7" t="n">
        <v>3</v>
      </c>
      <c r="G12" s="6" t="n">
        <v>23</v>
      </c>
      <c r="H12" s="5" t="inlineStr">
        <is>
          <t>2026-08-26</t>
        </is>
      </c>
      <c r="I12" s="6" t="n">
        <v>12</v>
      </c>
      <c r="J12" s="6" t="n">
        <v>2</v>
      </c>
      <c r="K12" s="5" t="inlineStr">
        <is>
          <t>1490024, 1490025</t>
        </is>
      </c>
      <c r="L12" s="5" t="inlineStr">
        <is>
          <t>40-99</t>
        </is>
      </c>
      <c r="M12" s="6" t="n">
        <v>128</v>
      </c>
      <c r="N12" s="6" t="n">
        <v>17</v>
      </c>
      <c r="O12" s="6" t="n">
        <v>29</v>
      </c>
      <c r="P12" s="5" t="inlineStr">
        <is>
          <t>yes</t>
        </is>
      </c>
      <c r="Q12" s="5" t="inlineStr">
        <is>
          <t>matches</t>
        </is>
      </c>
    </row>
    <row r="13">
      <c r="A13" s="4" t="inlineStr">
        <is>
          <t>Diamond</t>
        </is>
      </c>
      <c r="B13" s="5" t="inlineStr">
        <is>
          <t>Saturday Diamond Variety</t>
        </is>
      </c>
      <c r="C13" s="5" t="inlineStr">
        <is>
          <t>159</t>
        </is>
      </c>
      <c r="D13" s="5" t="inlineStr">
        <is>
          <t>diamondvariety</t>
        </is>
      </c>
      <c r="E13" s="6" t="n">
        <v>2</v>
      </c>
      <c r="F13" s="7" t="n">
        <v>2</v>
      </c>
      <c r="G13" s="6" t="n">
        <v>24</v>
      </c>
      <c r="H13" s="5" t="inlineStr">
        <is>
          <t>2026-08-30</t>
        </is>
      </c>
      <c r="I13" s="6" t="n">
        <v>8</v>
      </c>
      <c r="J13" s="6" t="n">
        <v>1</v>
      </c>
      <c r="K13" s="5" t="inlineStr">
        <is>
          <t>1590025</t>
        </is>
      </c>
      <c r="L13" s="5" t="inlineStr">
        <is>
          <t>40-99</t>
        </is>
      </c>
      <c r="M13" s="6" t="n">
        <v>128</v>
      </c>
      <c r="N13" s="6" t="n">
        <v>7</v>
      </c>
      <c r="O13" s="6" t="n">
        <v>32</v>
      </c>
      <c r="P13" s="5" t="inlineStr">
        <is>
          <t>yes</t>
        </is>
      </c>
      <c r="Q13" s="5" t="inlineStr">
        <is>
          <t>matches</t>
        </is>
      </c>
    </row>
    <row r="14">
      <c r="A14" s="4" t="inlineStr">
        <is>
          <t>Diamond</t>
        </is>
      </c>
      <c r="B14" s="5" t="inlineStr">
        <is>
          <t>Diamond Quick</t>
        </is>
      </c>
      <c r="C14" s="5" t="inlineStr"/>
      <c r="D14" s="5" t="inlineStr">
        <is>
          <t>diamondquick</t>
        </is>
      </c>
      <c r="E14" s="6" t="n">
        <v>7</v>
      </c>
      <c r="F14" s="8" t="n">
        <v>7</v>
      </c>
      <c r="G14" s="6" t="n">
        <v>1748</v>
      </c>
      <c r="H14" s="5" t="inlineStr"/>
      <c r="I14" s="5" t="inlineStr"/>
      <c r="J14" s="6" t="n">
        <v>0</v>
      </c>
      <c r="K14" s="5" t="inlineStr"/>
      <c r="L14" s="5" t="inlineStr">
        <is>
          <t>40-99</t>
        </is>
      </c>
      <c r="M14" s="6" t="n">
        <v>16</v>
      </c>
      <c r="N14" s="6" t="n">
        <v>0</v>
      </c>
      <c r="O14" s="6" t="n">
        <v>0</v>
      </c>
      <c r="P14" s="5" t="inlineStr">
        <is>
          <t>yes</t>
        </is>
      </c>
      <c r="Q14" s="5" t="inlineStr">
        <is>
          <t>—</t>
        </is>
      </c>
    </row>
    <row r="15">
      <c r="A15" s="4" t="inlineStr">
        <is>
          <t>Diamond</t>
        </is>
      </c>
      <c r="B15" s="5" t="inlineStr">
        <is>
          <t>Daily Diamond Cap</t>
        </is>
      </c>
      <c r="C15" s="5" t="inlineStr">
        <is>
          <t>135</t>
        </is>
      </c>
      <c r="D15" s="5" t="inlineStr"/>
      <c r="E15" s="6" t="n">
        <v>0</v>
      </c>
      <c r="F15" s="9" t="n">
        <v>0</v>
      </c>
      <c r="G15" s="5" t="inlineStr"/>
      <c r="H15" s="5" t="inlineStr"/>
      <c r="I15" s="5" t="inlineStr"/>
      <c r="J15" s="6" t="n">
        <v>0</v>
      </c>
      <c r="K15" s="5" t="inlineStr"/>
      <c r="L15" s="5" t="inlineStr">
        <is>
          <t>40-99</t>
        </is>
      </c>
      <c r="M15" s="6" t="n">
        <v>32</v>
      </c>
      <c r="N15" s="6" t="n">
        <v>1</v>
      </c>
      <c r="O15" s="6" t="n">
        <v>0</v>
      </c>
      <c r="P15" s="5" t="inlineStr">
        <is>
          <t>yes</t>
        </is>
      </c>
      <c r="Q15" s="5" t="inlineStr">
        <is>
          <t>—</t>
        </is>
      </c>
    </row>
    <row r="16">
      <c r="A16" s="4" t="inlineStr">
        <is>
          <t>Diamond</t>
        </is>
      </c>
      <c r="B16" s="5" t="inlineStr">
        <is>
          <t>EF 4T Diamond</t>
        </is>
      </c>
      <c r="C16" s="5" t="inlineStr"/>
      <c r="D16" s="5" t="inlineStr"/>
      <c r="E16" s="6" t="n">
        <v>0</v>
      </c>
      <c r="F16" s="9" t="n">
        <v>0</v>
      </c>
      <c r="G16" s="5" t="inlineStr"/>
      <c r="H16" s="5" t="inlineStr"/>
      <c r="I16" s="5" t="inlineStr"/>
      <c r="J16" s="6" t="n">
        <v>0</v>
      </c>
      <c r="K16" s="5" t="inlineStr"/>
      <c r="L16" s="5" t="inlineStr">
        <is>
          <t>40-99</t>
        </is>
      </c>
      <c r="M16" s="5" t="inlineStr"/>
      <c r="N16" s="6" t="n">
        <v>0</v>
      </c>
      <c r="O16" s="6" t="n">
        <v>0</v>
      </c>
      <c r="P16" s="5" t="inlineStr">
        <is>
          <t>yes</t>
        </is>
      </c>
      <c r="Q16" s="5" t="inlineStr">
        <is>
          <t>—</t>
        </is>
      </c>
    </row>
    <row r="17">
      <c r="A17" s="4" t="inlineStr">
        <is>
          <t>Diamond</t>
        </is>
      </c>
      <c r="B17" s="5" t="inlineStr">
        <is>
          <t>EF H2H Diamond</t>
        </is>
      </c>
      <c r="C17" s="5" t="inlineStr"/>
      <c r="D17" s="5" t="inlineStr"/>
      <c r="E17" s="6" t="n">
        <v>0</v>
      </c>
      <c r="F17" s="9" t="n">
        <v>0</v>
      </c>
      <c r="G17" s="5" t="inlineStr"/>
      <c r="H17" s="5" t="inlineStr"/>
      <c r="I17" s="5" t="inlineStr"/>
      <c r="J17" s="6" t="n">
        <v>0</v>
      </c>
      <c r="K17" s="5" t="inlineStr"/>
      <c r="L17" s="5" t="inlineStr">
        <is>
          <t>40-99</t>
        </is>
      </c>
      <c r="M17" s="5" t="inlineStr"/>
      <c r="N17" s="6" t="n">
        <v>0</v>
      </c>
      <c r="O17" s="6" t="n">
        <v>0</v>
      </c>
      <c r="P17" s="5" t="inlineStr">
        <is>
          <t>yes</t>
        </is>
      </c>
      <c r="Q17" s="5" t="inlineStr">
        <is>
          <t>—</t>
        </is>
      </c>
    </row>
    <row r="18">
      <c r="A18" s="4" t="inlineStr">
        <is>
          <t>Diamond</t>
        </is>
      </c>
      <c r="B18" s="5" t="inlineStr">
        <is>
          <t>Low Diamond Quick</t>
        </is>
      </c>
      <c r="C18" s="5" t="inlineStr"/>
      <c r="D18" s="5" t="inlineStr"/>
      <c r="E18" s="6" t="n">
        <v>0</v>
      </c>
      <c r="F18" s="9" t="n">
        <v>0</v>
      </c>
      <c r="G18" s="5" t="inlineStr"/>
      <c r="H18" s="5" t="inlineStr"/>
      <c r="I18" s="5" t="inlineStr"/>
      <c r="J18" s="6" t="n">
        <v>0</v>
      </c>
      <c r="K18" s="5" t="inlineStr"/>
      <c r="L18" s="5" t="inlineStr">
        <is>
          <t>40-94</t>
        </is>
      </c>
      <c r="M18" s="5" t="inlineStr"/>
      <c r="N18" s="6" t="n">
        <v>0</v>
      </c>
      <c r="O18" s="6" t="n">
        <v>0</v>
      </c>
      <c r="P18" s="5" t="inlineStr">
        <is>
          <t>yes</t>
        </is>
      </c>
      <c r="Q18" s="5" t="inlineStr">
        <is>
          <t>—</t>
        </is>
      </c>
    </row>
    <row r="19">
      <c r="A19" s="4" t="inlineStr">
        <is>
          <t>Diamond</t>
        </is>
      </c>
      <c r="B19" s="5" t="inlineStr">
        <is>
          <t>Monday Live Low Diamond</t>
        </is>
      </c>
      <c r="C19" s="5" t="inlineStr">
        <is>
          <t>143</t>
        </is>
      </c>
      <c r="D19" s="5" t="inlineStr"/>
      <c r="E19" s="6" t="n">
        <v>0</v>
      </c>
      <c r="F19" s="9" t="n">
        <v>0</v>
      </c>
      <c r="G19" s="5" t="inlineStr"/>
      <c r="H19" s="5" t="inlineStr"/>
      <c r="I19" s="5" t="inlineStr"/>
      <c r="J19" s="6" t="n">
        <v>0</v>
      </c>
      <c r="K19" s="5" t="inlineStr"/>
      <c r="L19" s="5" t="inlineStr"/>
      <c r="M19" s="6" t="n">
        <v>128</v>
      </c>
      <c r="N19" s="6" t="n">
        <v>2</v>
      </c>
      <c r="O19" s="6" t="n">
        <v>0</v>
      </c>
      <c r="P19" s="10" t="inlineStr">
        <is>
          <t>retired — slot 143 is now "Monday Wonky Historical Slots"</t>
        </is>
      </c>
      <c r="Q19" s="5" t="inlineStr">
        <is>
          <t>—</t>
        </is>
      </c>
    </row>
    <row r="20">
      <c r="A20" s="4" t="inlineStr">
        <is>
          <t>Diamond</t>
        </is>
      </c>
      <c r="B20" s="5" t="inlineStr">
        <is>
          <t>PTCS 6 Championship - Diamond</t>
        </is>
      </c>
      <c r="C20" s="5" t="inlineStr"/>
      <c r="D20" s="5" t="inlineStr">
        <is>
          <t>PTCS 6 Championship</t>
        </is>
      </c>
      <c r="E20" s="6" t="n">
        <v>0</v>
      </c>
      <c r="F20" s="9" t="n">
        <v>0</v>
      </c>
      <c r="G20" s="5" t="inlineStr"/>
      <c r="H20" s="5" t="inlineStr"/>
      <c r="I20" s="5" t="inlineStr"/>
      <c r="J20" s="6" t="n">
        <v>0</v>
      </c>
      <c r="K20" s="5" t="inlineStr"/>
      <c r="L20" s="5" t="inlineStr">
        <is>
          <t>40-99</t>
        </is>
      </c>
      <c r="M20" s="5" t="inlineStr"/>
      <c r="N20" s="6" t="n">
        <v>0</v>
      </c>
      <c r="O20" s="6" t="n">
        <v>0</v>
      </c>
      <c r="P20" s="10" t="inlineStr">
        <is>
          <t>duplicate listing — exports counted on "PTCS 6 Championship - Bronze"</t>
        </is>
      </c>
      <c r="Q20" s="5" t="inlineStr">
        <is>
          <t>—</t>
        </is>
      </c>
    </row>
    <row r="21">
      <c r="A21" s="11" t="inlineStr">
        <is>
          <t>Gold</t>
        </is>
      </c>
      <c r="B21" s="5" t="inlineStr">
        <is>
          <t>Daily Gold Slots</t>
        </is>
      </c>
      <c r="C21" s="5" t="inlineStr">
        <is>
          <t>132</t>
        </is>
      </c>
      <c r="D21" s="5" t="inlineStr">
        <is>
          <t>goldslotsdaily</t>
        </is>
      </c>
      <c r="E21" s="6" t="n">
        <v>18</v>
      </c>
      <c r="F21" s="7" t="n">
        <v>18</v>
      </c>
      <c r="G21" s="6" t="n">
        <v>169</v>
      </c>
      <c r="H21" s="5" t="inlineStr">
        <is>
          <t>2026-08-30</t>
        </is>
      </c>
      <c r="I21" s="6" t="n">
        <v>8</v>
      </c>
      <c r="J21" s="6" t="n">
        <v>7</v>
      </c>
      <c r="K21" s="5" t="inlineStr">
        <is>
          <t>1320171, 1320172, 1320173, 1320174, 1320175, 1320176, 1320177</t>
        </is>
      </c>
      <c r="L21" s="5" t="inlineStr">
        <is>
          <t>40-89</t>
        </is>
      </c>
      <c r="M21" s="6" t="n">
        <v>64</v>
      </c>
      <c r="N21" s="6" t="n">
        <v>30</v>
      </c>
      <c r="O21" s="6" t="n">
        <v>37</v>
      </c>
      <c r="P21" s="5" t="inlineStr">
        <is>
          <t>yes</t>
        </is>
      </c>
      <c r="Q21" s="5" t="inlineStr">
        <is>
          <t>matches</t>
        </is>
      </c>
    </row>
    <row r="22">
      <c r="A22" s="11" t="inlineStr">
        <is>
          <t>Gold</t>
        </is>
      </c>
      <c r="B22" s="5" t="inlineStr">
        <is>
          <t>Daily Early Gold</t>
        </is>
      </c>
      <c r="C22" s="5" t="inlineStr">
        <is>
          <t>128</t>
        </is>
      </c>
      <c r="D22" s="5" t="inlineStr">
        <is>
          <t>earlygold</t>
        </is>
      </c>
      <c r="E22" s="6" t="n">
        <v>15</v>
      </c>
      <c r="F22" s="7" t="n">
        <v>15</v>
      </c>
      <c r="G22" s="6" t="n">
        <v>167</v>
      </c>
      <c r="H22" s="5" t="inlineStr">
        <is>
          <t>2026-08-28</t>
        </is>
      </c>
      <c r="I22" s="6" t="n">
        <v>10</v>
      </c>
      <c r="J22" s="6" t="n">
        <v>7</v>
      </c>
      <c r="K22" s="5" t="inlineStr">
        <is>
          <t>1280171, 1280172, 1280173, 1280174, 1280175, 1280176, 1280177</t>
        </is>
      </c>
      <c r="L22" s="5" t="inlineStr">
        <is>
          <t>40-89</t>
        </is>
      </c>
      <c r="M22" s="6" t="n">
        <v>64</v>
      </c>
      <c r="N22" s="6" t="n">
        <v>27</v>
      </c>
      <c r="O22" s="6" t="n">
        <v>35</v>
      </c>
      <c r="P22" s="5" t="inlineStr">
        <is>
          <t>yes</t>
        </is>
      </c>
      <c r="Q22" s="5" t="inlineStr">
        <is>
          <t>matches</t>
        </is>
      </c>
    </row>
    <row r="23">
      <c r="A23" s="11" t="inlineStr">
        <is>
          <t>Gold</t>
        </is>
      </c>
      <c r="B23" s="5" t="inlineStr">
        <is>
          <t>Daily Golden Heart</t>
        </is>
      </c>
      <c r="C23" s="5" t="inlineStr">
        <is>
          <t>184</t>
        </is>
      </c>
      <c r="D23" s="5" t="inlineStr">
        <is>
          <t>goldenheart</t>
        </is>
      </c>
      <c r="E23" s="6" t="n">
        <v>15</v>
      </c>
      <c r="F23" s="7" t="n">
        <v>15</v>
      </c>
      <c r="G23" s="6" t="n">
        <v>151</v>
      </c>
      <c r="H23" s="5" t="inlineStr">
        <is>
          <t>2026-08-28</t>
        </is>
      </c>
      <c r="I23" s="6" t="n">
        <v>10</v>
      </c>
      <c r="J23" s="6" t="n">
        <v>7</v>
      </c>
      <c r="K23" s="5" t="inlineStr">
        <is>
          <t>1840155, 1840156, 1840157, 1840158, 1840159, 1840160, 1840161</t>
        </is>
      </c>
      <c r="L23" s="5" t="inlineStr">
        <is>
          <t>40-89</t>
        </is>
      </c>
      <c r="M23" s="6" t="n">
        <v>64</v>
      </c>
      <c r="N23" s="6" t="n">
        <v>25</v>
      </c>
      <c r="O23" s="6" t="n">
        <v>54</v>
      </c>
      <c r="P23" s="5" t="inlineStr">
        <is>
          <t>yes</t>
        </is>
      </c>
      <c r="Q23" s="5" t="inlineStr">
        <is>
          <t>matches</t>
        </is>
      </c>
    </row>
    <row r="24">
      <c r="A24" s="11" t="inlineStr">
        <is>
          <t>Gold</t>
        </is>
      </c>
      <c r="B24" s="5" t="inlineStr">
        <is>
          <t>Daily Low Gold Retrospecticus</t>
        </is>
      </c>
      <c r="C24" s="5" t="inlineStr">
        <is>
          <t>166</t>
        </is>
      </c>
      <c r="D24" s="5" t="inlineStr">
        <is>
          <t>lgretro</t>
        </is>
      </c>
      <c r="E24" s="6" t="n">
        <v>13</v>
      </c>
      <c r="F24" s="7" t="n">
        <v>13</v>
      </c>
      <c r="G24" s="6" t="n">
        <v>165</v>
      </c>
      <c r="H24" s="5" t="inlineStr">
        <is>
          <t>2026-08-30</t>
        </is>
      </c>
      <c r="I24" s="6" t="n">
        <v>8</v>
      </c>
      <c r="J24" s="6" t="n">
        <v>7</v>
      </c>
      <c r="K24" s="5" t="inlineStr">
        <is>
          <t>1660167, 1660168, 1660169, 1660170, 1660171, 1660172, 1660173</t>
        </is>
      </c>
      <c r="L24" s="5" t="inlineStr">
        <is>
          <t>40-84</t>
        </is>
      </c>
      <c r="M24" s="6" t="n">
        <v>64</v>
      </c>
      <c r="N24" s="6" t="n">
        <v>22</v>
      </c>
      <c r="O24" s="6" t="n">
        <v>62</v>
      </c>
      <c r="P24" s="5" t="inlineStr">
        <is>
          <t>yes</t>
        </is>
      </c>
      <c r="Q24" s="5" t="inlineStr">
        <is>
          <t>matches</t>
        </is>
      </c>
    </row>
    <row r="25">
      <c r="A25" s="11" t="inlineStr">
        <is>
          <t>Gold</t>
        </is>
      </c>
      <c r="B25" s="5" t="inlineStr">
        <is>
          <t>Daily Sporer's Golden Childhood</t>
        </is>
      </c>
      <c r="C25" s="5" t="inlineStr">
        <is>
          <t>191</t>
        </is>
      </c>
      <c r="D25" s="5" t="inlineStr">
        <is>
          <t>goldenchildhood</t>
        </is>
      </c>
      <c r="E25" s="6" t="n">
        <v>4</v>
      </c>
      <c r="F25" s="7" t="n">
        <v>4</v>
      </c>
      <c r="G25" s="6" t="n">
        <v>93</v>
      </c>
      <c r="H25" s="5" t="inlineStr">
        <is>
          <t>2026-08-28</t>
        </is>
      </c>
      <c r="I25" s="6" t="n">
        <v>10</v>
      </c>
      <c r="J25" s="6" t="n">
        <v>7</v>
      </c>
      <c r="K25" s="5" t="inlineStr">
        <is>
          <t>1910097, 1910098, 1910099, 1910100, 1910101, 1910102, 1910103</t>
        </is>
      </c>
      <c r="L25" s="5" t="inlineStr">
        <is>
          <t>40-89</t>
        </is>
      </c>
      <c r="M25" s="6" t="n">
        <v>64</v>
      </c>
      <c r="N25" s="6" t="n">
        <v>12</v>
      </c>
      <c r="O25" s="6" t="n">
        <v>12</v>
      </c>
      <c r="P25" s="5" t="inlineStr">
        <is>
          <t>yes</t>
        </is>
      </c>
      <c r="Q25" s="5" t="inlineStr">
        <is>
          <t>matches</t>
        </is>
      </c>
    </row>
    <row r="26">
      <c r="A26" s="11" t="inlineStr">
        <is>
          <t>Gold</t>
        </is>
      </c>
      <c r="B26" s="5" t="inlineStr">
        <is>
          <t>Daily Goldfather II</t>
        </is>
      </c>
      <c r="C26" s="5" t="inlineStr">
        <is>
          <t>129</t>
        </is>
      </c>
      <c r="D26" s="5" t="inlineStr">
        <is>
          <t>goldfather</t>
        </is>
      </c>
      <c r="E26" s="6" t="n">
        <v>8</v>
      </c>
      <c r="F26" s="7" t="n">
        <v>8</v>
      </c>
      <c r="G26" s="6" t="n">
        <v>130</v>
      </c>
      <c r="H26" s="5" t="inlineStr">
        <is>
          <t>2026-07-22</t>
        </is>
      </c>
      <c r="I26" s="6" t="n">
        <v>47</v>
      </c>
      <c r="J26" s="6" t="n">
        <v>7</v>
      </c>
      <c r="K26" s="5" t="inlineStr">
        <is>
          <t>1290171, 1290172, 1290173, 1290174, 1290175, 1290176, 1290177</t>
        </is>
      </c>
      <c r="L26" s="5" t="inlineStr">
        <is>
          <t>40-89</t>
        </is>
      </c>
      <c r="M26" s="6" t="n">
        <v>64</v>
      </c>
      <c r="N26" s="6" t="n">
        <v>10</v>
      </c>
      <c r="O26" s="6" t="n">
        <v>25</v>
      </c>
      <c r="P26" s="5" t="inlineStr">
        <is>
          <t>yes</t>
        </is>
      </c>
      <c r="Q26" s="5" t="inlineStr">
        <is>
          <t>matches</t>
        </is>
      </c>
    </row>
    <row r="27">
      <c r="A27" s="11" t="inlineStr">
        <is>
          <t>Gold</t>
        </is>
      </c>
      <c r="B27" s="5" t="inlineStr">
        <is>
          <t>Tuesday Sporer's Sandlot</t>
        </is>
      </c>
      <c r="C27" s="5" t="inlineStr">
        <is>
          <t>147</t>
        </is>
      </c>
      <c r="D27" s="5" t="inlineStr">
        <is>
          <t>sandlot</t>
        </is>
      </c>
      <c r="E27" s="6" t="n">
        <v>1</v>
      </c>
      <c r="F27" s="7" t="n">
        <v>1</v>
      </c>
      <c r="G27" s="6" t="n">
        <v>23</v>
      </c>
      <c r="H27" s="5" t="inlineStr">
        <is>
          <t>2026-08-26</t>
        </is>
      </c>
      <c r="I27" s="6" t="n">
        <v>12</v>
      </c>
      <c r="J27" s="6" t="n">
        <v>2</v>
      </c>
      <c r="K27" s="5" t="inlineStr">
        <is>
          <t>1470024, 1470025</t>
        </is>
      </c>
      <c r="L27" s="5" t="inlineStr">
        <is>
          <t>60-89</t>
        </is>
      </c>
      <c r="M27" s="6" t="n">
        <v>128</v>
      </c>
      <c r="N27" s="6" t="n">
        <v>7</v>
      </c>
      <c r="O27" s="6" t="n">
        <v>3</v>
      </c>
      <c r="P27" s="5" t="inlineStr">
        <is>
          <t>yes</t>
        </is>
      </c>
      <c r="Q27" s="5" t="inlineStr">
        <is>
          <t>matches</t>
        </is>
      </c>
    </row>
    <row r="28">
      <c r="A28" s="11" t="inlineStr">
        <is>
          <t>Gold</t>
        </is>
      </c>
      <c r="B28" s="5" t="inlineStr">
        <is>
          <t>Monday Wonky Historical Slots</t>
        </is>
      </c>
      <c r="C28" s="5" t="inlineStr">
        <is>
          <t>143</t>
        </is>
      </c>
      <c r="D28" s="5" t="inlineStr">
        <is>
          <t>wonkyslots</t>
        </is>
      </c>
      <c r="E28" s="6" t="n">
        <v>1</v>
      </c>
      <c r="F28" s="7" t="n">
        <v>1</v>
      </c>
      <c r="G28" s="6" t="n">
        <v>23</v>
      </c>
      <c r="H28" s="5" t="inlineStr">
        <is>
          <t>2026-08-24</t>
        </is>
      </c>
      <c r="I28" s="6" t="n">
        <v>14</v>
      </c>
      <c r="J28" s="6" t="n">
        <v>2</v>
      </c>
      <c r="K28" s="5" t="inlineStr">
        <is>
          <t>1430024, 1430025</t>
        </is>
      </c>
      <c r="L28" s="5" t="inlineStr">
        <is>
          <t>40-89</t>
        </is>
      </c>
      <c r="M28" s="6" t="n">
        <v>128</v>
      </c>
      <c r="N28" s="6" t="n">
        <v>5</v>
      </c>
      <c r="O28" s="6" t="n">
        <v>4</v>
      </c>
      <c r="P28" s="5" t="inlineStr">
        <is>
          <t>yes</t>
        </is>
      </c>
      <c r="Q28" s="5" t="inlineStr">
        <is>
          <t>matches</t>
        </is>
      </c>
    </row>
    <row r="29">
      <c r="A29" s="11" t="inlineStr">
        <is>
          <t>Gold</t>
        </is>
      </c>
      <c r="B29" s="5" t="inlineStr">
        <is>
          <t>Sunday High Iron Floor and Gold Ceiling</t>
        </is>
      </c>
      <c r="C29" s="5" t="inlineStr">
        <is>
          <t>160</t>
        </is>
      </c>
      <c r="D29" s="5" t="inlineStr">
        <is>
          <t>highironfloorgoldceilingweekly</t>
        </is>
      </c>
      <c r="E29" s="6" t="n">
        <v>3</v>
      </c>
      <c r="F29" s="7" t="n">
        <v>3</v>
      </c>
      <c r="G29" s="6" t="n">
        <v>24</v>
      </c>
      <c r="H29" s="5" t="inlineStr">
        <is>
          <t>2026-08-30</t>
        </is>
      </c>
      <c r="I29" s="6" t="n">
        <v>8</v>
      </c>
      <c r="J29" s="6" t="n">
        <v>1</v>
      </c>
      <c r="K29" s="5" t="inlineStr">
        <is>
          <t>1600025</t>
        </is>
      </c>
      <c r="L29" s="5" t="inlineStr">
        <is>
          <t>50-89</t>
        </is>
      </c>
      <c r="M29" s="6" t="n">
        <v>128</v>
      </c>
      <c r="N29" s="6" t="n">
        <v>4</v>
      </c>
      <c r="O29" s="6" t="n">
        <v>4</v>
      </c>
      <c r="P29" s="5" t="inlineStr">
        <is>
          <t>yes</t>
        </is>
      </c>
      <c r="Q29" s="5" t="inlineStr">
        <is>
          <t>matches</t>
        </is>
      </c>
    </row>
    <row r="30">
      <c r="A30" s="11" t="inlineStr">
        <is>
          <t>Gold</t>
        </is>
      </c>
      <c r="B30" s="5" t="inlineStr">
        <is>
          <t>Thursday Night Gold Rush</t>
        </is>
      </c>
      <c r="C30" s="5" t="inlineStr">
        <is>
          <t>153</t>
        </is>
      </c>
      <c r="D30" s="5" t="inlineStr">
        <is>
          <t>goldweekly</t>
        </is>
      </c>
      <c r="E30" s="6" t="n">
        <v>1</v>
      </c>
      <c r="F30" s="7" t="n">
        <v>1</v>
      </c>
      <c r="G30" s="6" t="n">
        <v>23</v>
      </c>
      <c r="H30" s="5" t="inlineStr">
        <is>
          <t>2026-08-27</t>
        </is>
      </c>
      <c r="I30" s="6" t="n">
        <v>11</v>
      </c>
      <c r="J30" s="6" t="n">
        <v>2</v>
      </c>
      <c r="K30" s="5" t="inlineStr">
        <is>
          <t>1530024, 1530025</t>
        </is>
      </c>
      <c r="L30" s="5" t="inlineStr">
        <is>
          <t>40-89</t>
        </is>
      </c>
      <c r="M30" s="6" t="n">
        <v>128</v>
      </c>
      <c r="N30" s="6" t="n">
        <v>3</v>
      </c>
      <c r="O30" s="6" t="n">
        <v>0</v>
      </c>
      <c r="P30" s="5" t="inlineStr">
        <is>
          <t>yes</t>
        </is>
      </c>
      <c r="Q30" s="5" t="inlineStr">
        <is>
          <t>matches</t>
        </is>
      </c>
    </row>
    <row r="31">
      <c r="A31" s="11" t="inlineStr">
        <is>
          <t>Gold</t>
        </is>
      </c>
      <c r="B31" s="5" t="inlineStr">
        <is>
          <t>Daily Gold Cap</t>
        </is>
      </c>
      <c r="C31" s="5" t="inlineStr"/>
      <c r="D31" s="5" t="inlineStr"/>
      <c r="E31" s="6" t="n">
        <v>0</v>
      </c>
      <c r="F31" s="9" t="n">
        <v>0</v>
      </c>
      <c r="G31" s="5" t="inlineStr"/>
      <c r="H31" s="5" t="inlineStr"/>
      <c r="I31" s="5" t="inlineStr"/>
      <c r="J31" s="6" t="n">
        <v>0</v>
      </c>
      <c r="K31" s="5" t="inlineStr"/>
      <c r="L31" s="5" t="inlineStr">
        <is>
          <t>40-89</t>
        </is>
      </c>
      <c r="M31" s="6" t="n">
        <v>32</v>
      </c>
      <c r="N31" s="6" t="n">
        <v>0</v>
      </c>
      <c r="O31" s="6" t="n">
        <v>0</v>
      </c>
      <c r="P31" s="5" t="inlineStr">
        <is>
          <t>yes</t>
        </is>
      </c>
      <c r="Q31" s="5" t="inlineStr">
        <is>
          <t>—</t>
        </is>
      </c>
    </row>
    <row r="32">
      <c r="A32" s="11" t="inlineStr">
        <is>
          <t>Gold</t>
        </is>
      </c>
      <c r="B32" s="5" t="inlineStr">
        <is>
          <t>Daily Live Gold</t>
        </is>
      </c>
      <c r="C32" s="5" t="inlineStr"/>
      <c r="D32" s="5" t="inlineStr"/>
      <c r="E32" s="6" t="n">
        <v>0</v>
      </c>
      <c r="F32" s="9" t="n">
        <v>0</v>
      </c>
      <c r="G32" s="5" t="inlineStr"/>
      <c r="H32" s="5" t="inlineStr"/>
      <c r="I32" s="5" t="inlineStr"/>
      <c r="J32" s="6" t="n">
        <v>0</v>
      </c>
      <c r="K32" s="5" t="inlineStr"/>
      <c r="L32" s="5" t="inlineStr">
        <is>
          <t>40-89</t>
        </is>
      </c>
      <c r="M32" s="6" t="n">
        <v>128</v>
      </c>
      <c r="N32" s="6" t="n">
        <v>0</v>
      </c>
      <c r="O32" s="6" t="n">
        <v>0</v>
      </c>
      <c r="P32" s="5" t="inlineStr">
        <is>
          <t>yes</t>
        </is>
      </c>
      <c r="Q32" s="5" t="inlineStr">
        <is>
          <t>—</t>
        </is>
      </c>
    </row>
    <row r="33">
      <c r="A33" s="11" t="inlineStr">
        <is>
          <t>Gold</t>
        </is>
      </c>
      <c r="B33" s="5" t="inlineStr">
        <is>
          <t>EF 4T Gold</t>
        </is>
      </c>
      <c r="C33" s="5" t="inlineStr"/>
      <c r="D33" s="5" t="inlineStr"/>
      <c r="E33" s="6" t="n">
        <v>0</v>
      </c>
      <c r="F33" s="9" t="n">
        <v>0</v>
      </c>
      <c r="G33" s="5" t="inlineStr"/>
      <c r="H33" s="5" t="inlineStr"/>
      <c r="I33" s="5" t="inlineStr"/>
      <c r="J33" s="6" t="n">
        <v>0</v>
      </c>
      <c r="K33" s="5" t="inlineStr"/>
      <c r="L33" s="5" t="inlineStr">
        <is>
          <t>40-89</t>
        </is>
      </c>
      <c r="M33" s="6" t="n">
        <v>4</v>
      </c>
      <c r="N33" s="6" t="n">
        <v>0</v>
      </c>
      <c r="O33" s="6" t="n">
        <v>0</v>
      </c>
      <c r="P33" s="5" t="inlineStr">
        <is>
          <t>yes</t>
        </is>
      </c>
      <c r="Q33" s="5" t="inlineStr">
        <is>
          <t>—</t>
        </is>
      </c>
    </row>
    <row r="34">
      <c r="A34" s="11" t="inlineStr">
        <is>
          <t>Gold</t>
        </is>
      </c>
      <c r="B34" s="5" t="inlineStr">
        <is>
          <t>EF H2H Gold</t>
        </is>
      </c>
      <c r="C34" s="5" t="inlineStr"/>
      <c r="D34" s="5" t="inlineStr"/>
      <c r="E34" s="6" t="n">
        <v>0</v>
      </c>
      <c r="F34" s="9" t="n">
        <v>0</v>
      </c>
      <c r="G34" s="5" t="inlineStr"/>
      <c r="H34" s="5" t="inlineStr"/>
      <c r="I34" s="5" t="inlineStr"/>
      <c r="J34" s="6" t="n">
        <v>0</v>
      </c>
      <c r="K34" s="5" t="inlineStr"/>
      <c r="L34" s="5" t="inlineStr">
        <is>
          <t>40-89</t>
        </is>
      </c>
      <c r="M34" s="6" t="n">
        <v>2</v>
      </c>
      <c r="N34" s="6" t="n">
        <v>0</v>
      </c>
      <c r="O34" s="6" t="n">
        <v>0</v>
      </c>
      <c r="P34" s="5" t="inlineStr">
        <is>
          <t>yes</t>
        </is>
      </c>
      <c r="Q34" s="5" t="inlineStr">
        <is>
          <t>—</t>
        </is>
      </c>
    </row>
    <row r="35">
      <c r="A35" s="11" t="inlineStr">
        <is>
          <t>Gold</t>
        </is>
      </c>
      <c r="B35" s="5" t="inlineStr">
        <is>
          <t>Gold Quick</t>
        </is>
      </c>
      <c r="C35" s="5" t="inlineStr"/>
      <c r="D35" s="5" t="inlineStr"/>
      <c r="E35" s="6" t="n">
        <v>0</v>
      </c>
      <c r="F35" s="9" t="n">
        <v>0</v>
      </c>
      <c r="G35" s="5" t="inlineStr"/>
      <c r="H35" s="5" t="inlineStr"/>
      <c r="I35" s="5" t="inlineStr"/>
      <c r="J35" s="6" t="n">
        <v>0</v>
      </c>
      <c r="K35" s="5" t="inlineStr"/>
      <c r="L35" s="5" t="inlineStr">
        <is>
          <t>40-89</t>
        </is>
      </c>
      <c r="M35" s="6" t="n">
        <v>16</v>
      </c>
      <c r="N35" s="6" t="n">
        <v>0</v>
      </c>
      <c r="O35" s="6" t="n">
        <v>0</v>
      </c>
      <c r="P35" s="5" t="inlineStr">
        <is>
          <t>yes</t>
        </is>
      </c>
      <c r="Q35" s="5" t="inlineStr">
        <is>
          <t>—</t>
        </is>
      </c>
    </row>
    <row r="36">
      <c r="A36" s="11" t="inlineStr">
        <is>
          <t>Gold</t>
        </is>
      </c>
      <c r="B36" s="5" t="inlineStr">
        <is>
          <t>Low Gold Quick</t>
        </is>
      </c>
      <c r="C36" s="5" t="inlineStr"/>
      <c r="D36" s="5" t="inlineStr"/>
      <c r="E36" s="6" t="n">
        <v>0</v>
      </c>
      <c r="F36" s="9" t="n">
        <v>0</v>
      </c>
      <c r="G36" s="5" t="inlineStr"/>
      <c r="H36" s="5" t="inlineStr"/>
      <c r="I36" s="5" t="inlineStr"/>
      <c r="J36" s="6" t="n">
        <v>0</v>
      </c>
      <c r="K36" s="5" t="inlineStr"/>
      <c r="L36" s="5" t="inlineStr">
        <is>
          <t>40-84</t>
        </is>
      </c>
      <c r="M36" s="5" t="inlineStr"/>
      <c r="N36" s="6" t="n">
        <v>0</v>
      </c>
      <c r="O36" s="6" t="n">
        <v>0</v>
      </c>
      <c r="P36" s="5" t="inlineStr">
        <is>
          <t>yes</t>
        </is>
      </c>
      <c r="Q36" s="5" t="inlineStr">
        <is>
          <t>—</t>
        </is>
      </c>
    </row>
    <row r="37">
      <c r="A37" s="11" t="inlineStr">
        <is>
          <t>Gold</t>
        </is>
      </c>
      <c r="B37" s="5" t="inlineStr">
        <is>
          <t>low gold</t>
        </is>
      </c>
      <c r="C37" s="5" t="inlineStr"/>
      <c r="D37" s="5" t="inlineStr"/>
      <c r="E37" s="6" t="n">
        <v>0</v>
      </c>
      <c r="F37" s="9" t="n">
        <v>0</v>
      </c>
      <c r="G37" s="5" t="inlineStr"/>
      <c r="H37" s="5" t="inlineStr"/>
      <c r="I37" s="5" t="inlineStr"/>
      <c r="J37" s="6" t="n">
        <v>0</v>
      </c>
      <c r="K37" s="5" t="inlineStr"/>
      <c r="L37" s="5" t="inlineStr">
        <is>
          <t>40-84</t>
        </is>
      </c>
      <c r="M37" s="5" t="inlineStr"/>
      <c r="N37" s="6" t="n">
        <v>0</v>
      </c>
      <c r="O37" s="6" t="n">
        <v>0</v>
      </c>
      <c r="P37" s="5" t="inlineStr">
        <is>
          <t>yes</t>
        </is>
      </c>
      <c r="Q37" s="5" t="inlineStr">
        <is>
          <t>—</t>
        </is>
      </c>
    </row>
    <row r="38">
      <c r="A38" s="11" t="inlineStr">
        <is>
          <t>Gold</t>
        </is>
      </c>
      <c r="B38" s="5" t="inlineStr">
        <is>
          <t>Daily Low Gold Retrospectus</t>
        </is>
      </c>
      <c r="C38" s="5" t="inlineStr"/>
      <c r="D38" s="5" t="inlineStr">
        <is>
          <t>lgretro</t>
        </is>
      </c>
      <c r="E38" s="6" t="n">
        <v>0</v>
      </c>
      <c r="F38" s="9" t="n">
        <v>0</v>
      </c>
      <c r="G38" s="5" t="inlineStr"/>
      <c r="H38" s="5" t="inlineStr"/>
      <c r="I38" s="5" t="inlineStr"/>
      <c r="J38" s="6" t="n">
        <v>0</v>
      </c>
      <c r="K38" s="5" t="inlineStr"/>
      <c r="L38" s="5" t="inlineStr">
        <is>
          <t>40-84</t>
        </is>
      </c>
      <c r="M38" s="6" t="n">
        <v>64</v>
      </c>
      <c r="N38" s="6" t="n">
        <v>0</v>
      </c>
      <c r="O38" s="6" t="n">
        <v>0</v>
      </c>
      <c r="P38" s="10" t="inlineStr">
        <is>
          <t>duplicate listing — exports counted on "Daily Low Gold Retrospecticus"</t>
        </is>
      </c>
      <c r="Q38" s="5" t="inlineStr">
        <is>
          <t>—</t>
        </is>
      </c>
    </row>
    <row r="39">
      <c r="A39" s="11" t="inlineStr">
        <is>
          <t>Gold</t>
        </is>
      </c>
      <c r="B39" s="5" t="inlineStr">
        <is>
          <t>PTCS 6 Championship - Gold</t>
        </is>
      </c>
      <c r="C39" s="5" t="inlineStr"/>
      <c r="D39" s="5" t="inlineStr">
        <is>
          <t>PTCS 6 Championship</t>
        </is>
      </c>
      <c r="E39" s="6" t="n">
        <v>0</v>
      </c>
      <c r="F39" s="9" t="n">
        <v>0</v>
      </c>
      <c r="G39" s="5" t="inlineStr"/>
      <c r="H39" s="5" t="inlineStr"/>
      <c r="I39" s="5" t="inlineStr"/>
      <c r="J39" s="6" t="n">
        <v>0</v>
      </c>
      <c r="K39" s="5" t="inlineStr"/>
      <c r="L39" s="5" t="inlineStr">
        <is>
          <t>40-89</t>
        </is>
      </c>
      <c r="M39" s="5" t="inlineStr"/>
      <c r="N39" s="6" t="n">
        <v>0</v>
      </c>
      <c r="O39" s="6" t="n">
        <v>0</v>
      </c>
      <c r="P39" s="10" t="inlineStr">
        <is>
          <t>duplicate listing — exports counted on "PTCS 6 Championship - Bronze"</t>
        </is>
      </c>
      <c r="Q39" s="5" t="inlineStr">
        <is>
          <t>—</t>
        </is>
      </c>
    </row>
    <row r="40">
      <c r="A40" s="11" t="inlineStr">
        <is>
          <t>Gold</t>
        </is>
      </c>
      <c r="B40" s="5" t="inlineStr">
        <is>
          <t>PTCS 6 Championship - Live</t>
        </is>
      </c>
      <c r="C40" s="5" t="inlineStr"/>
      <c r="D40" s="5" t="inlineStr">
        <is>
          <t>PTCS 6 Championship</t>
        </is>
      </c>
      <c r="E40" s="6" t="n">
        <v>0</v>
      </c>
      <c r="F40" s="9" t="n">
        <v>0</v>
      </c>
      <c r="G40" s="5" t="inlineStr"/>
      <c r="H40" s="5" t="inlineStr"/>
      <c r="I40" s="5" t="inlineStr"/>
      <c r="J40" s="6" t="n">
        <v>0</v>
      </c>
      <c r="K40" s="5" t="inlineStr"/>
      <c r="L40" s="5" t="inlineStr">
        <is>
          <t>50-84</t>
        </is>
      </c>
      <c r="M40" s="5" t="inlineStr"/>
      <c r="N40" s="6" t="n">
        <v>0</v>
      </c>
      <c r="O40" s="6" t="n">
        <v>0</v>
      </c>
      <c r="P40" s="10" t="inlineStr">
        <is>
          <t>duplicate listing — exports counted on "PTCS 6 Championship - Bronze"</t>
        </is>
      </c>
      <c r="Q40" s="5" t="inlineStr">
        <is>
          <t>—</t>
        </is>
      </c>
    </row>
    <row r="41">
      <c r="A41" s="12" t="inlineStr">
        <is>
          <t>Silver</t>
        </is>
      </c>
      <c r="B41" s="5" t="inlineStr">
        <is>
          <t>Daily Late Silver</t>
        </is>
      </c>
      <c r="C41" s="5" t="inlineStr">
        <is>
          <t>124</t>
        </is>
      </c>
      <c r="D41" s="5" t="inlineStr">
        <is>
          <t>latesilver</t>
        </is>
      </c>
      <c r="E41" s="6" t="n">
        <v>16</v>
      </c>
      <c r="F41" s="8" t="n">
        <v>16</v>
      </c>
      <c r="G41" s="6" t="n">
        <v>170</v>
      </c>
      <c r="H41" s="5" t="inlineStr">
        <is>
          <t>2026-08-31</t>
        </is>
      </c>
      <c r="I41" s="6" t="n">
        <v>7</v>
      </c>
      <c r="J41" s="6" t="n">
        <v>7</v>
      </c>
      <c r="K41" s="5" t="inlineStr">
        <is>
          <t>1240171, 1240172, 1240173, 1240174, 1240175, 1240176, 1240177</t>
        </is>
      </c>
      <c r="L41" s="5" t="inlineStr">
        <is>
          <t>40-79</t>
        </is>
      </c>
      <c r="M41" s="6" t="n">
        <v>64</v>
      </c>
      <c r="N41" s="6" t="n">
        <v>33</v>
      </c>
      <c r="O41" s="6" t="n">
        <v>100</v>
      </c>
      <c r="P41" s="5" t="inlineStr">
        <is>
          <t>yes</t>
        </is>
      </c>
      <c r="Q41" s="5" t="inlineStr">
        <is>
          <t>matches</t>
        </is>
      </c>
    </row>
    <row r="42">
      <c r="A42" s="12" t="inlineStr">
        <is>
          <t>Silver</t>
        </is>
      </c>
      <c r="B42" s="5" t="inlineStr">
        <is>
          <t>Daily Silver Heart</t>
        </is>
      </c>
      <c r="C42" s="5" t="inlineStr">
        <is>
          <t>183</t>
        </is>
      </c>
      <c r="D42" s="5" t="inlineStr">
        <is>
          <t>silverheart</t>
        </is>
      </c>
      <c r="E42" s="6" t="n">
        <v>8</v>
      </c>
      <c r="F42" s="7" t="n">
        <v>8</v>
      </c>
      <c r="G42" s="6" t="n">
        <v>151</v>
      </c>
      <c r="H42" s="5" t="inlineStr">
        <is>
          <t>2026-08-29</t>
        </is>
      </c>
      <c r="I42" s="6" t="n">
        <v>9</v>
      </c>
      <c r="J42" s="6" t="n">
        <v>7</v>
      </c>
      <c r="K42" s="5" t="inlineStr">
        <is>
          <t>1830154, 1830155, 1830156, 1830157, 1830158, 1830159, 1830160</t>
        </is>
      </c>
      <c r="L42" s="5" t="inlineStr">
        <is>
          <t>40-79</t>
        </is>
      </c>
      <c r="M42" s="6" t="n">
        <v>64</v>
      </c>
      <c r="N42" s="6" t="n">
        <v>15</v>
      </c>
      <c r="O42" s="6" t="n">
        <v>32</v>
      </c>
      <c r="P42" s="5" t="inlineStr">
        <is>
          <t>yes</t>
        </is>
      </c>
      <c r="Q42" s="5" t="inlineStr">
        <is>
          <t>matches</t>
        </is>
      </c>
    </row>
    <row r="43">
      <c r="A43" s="12" t="inlineStr">
        <is>
          <t>Silver</t>
        </is>
      </c>
      <c r="B43" s="5" t="inlineStr">
        <is>
          <t>Daily Silver Slamboree</t>
        </is>
      </c>
      <c r="C43" s="5" t="inlineStr">
        <is>
          <t>165</t>
        </is>
      </c>
      <c r="D43" s="5" t="inlineStr">
        <is>
          <t>silverslamboree</t>
        </is>
      </c>
      <c r="E43" s="6" t="n">
        <v>8</v>
      </c>
      <c r="F43" s="7" t="n">
        <v>8</v>
      </c>
      <c r="G43" s="6" t="n">
        <v>165</v>
      </c>
      <c r="H43" s="5" t="inlineStr">
        <is>
          <t>2026-08-29</t>
        </is>
      </c>
      <c r="I43" s="6" t="n">
        <v>9</v>
      </c>
      <c r="J43" s="6" t="n">
        <v>7</v>
      </c>
      <c r="K43" s="5" t="inlineStr">
        <is>
          <t>1650168, 1650169, 1650170, 1650171, 1650172, 1650173, 1650174</t>
        </is>
      </c>
      <c r="L43" s="5" t="inlineStr">
        <is>
          <t>40-79</t>
        </is>
      </c>
      <c r="M43" s="6" t="n">
        <v>64</v>
      </c>
      <c r="N43" s="6" t="n">
        <v>14</v>
      </c>
      <c r="O43" s="6" t="n">
        <v>15</v>
      </c>
      <c r="P43" s="5" t="inlineStr">
        <is>
          <t>yes</t>
        </is>
      </c>
      <c r="Q43" s="5" t="inlineStr">
        <is>
          <t>matches</t>
        </is>
      </c>
    </row>
    <row r="44">
      <c r="A44" s="12" t="inlineStr">
        <is>
          <t>Silver</t>
        </is>
      </c>
      <c r="B44" s="5" t="inlineStr">
        <is>
          <t>Daily Silver &amp; Friends Deadball Slots</t>
        </is>
      </c>
      <c r="C44" s="5" t="inlineStr">
        <is>
          <t>190</t>
        </is>
      </c>
      <c r="D44" s="5" t="inlineStr">
        <is>
          <t>silverandfriends</t>
        </is>
      </c>
      <c r="E44" s="6" t="n">
        <v>3</v>
      </c>
      <c r="F44" s="7" t="n">
        <v>3</v>
      </c>
      <c r="G44" s="6" t="n">
        <v>95</v>
      </c>
      <c r="H44" s="5" t="inlineStr">
        <is>
          <t>2026-08-29</t>
        </is>
      </c>
      <c r="I44" s="6" t="n">
        <v>9</v>
      </c>
      <c r="J44" s="6" t="n">
        <v>7</v>
      </c>
      <c r="K44" s="5" t="inlineStr">
        <is>
          <t>1900098, 1900099, 1900100, 1900101, 1900102, 1900103, 1900104</t>
        </is>
      </c>
      <c r="L44" s="5" t="inlineStr"/>
      <c r="M44" s="6" t="n">
        <v>64</v>
      </c>
      <c r="N44" s="6" t="n">
        <v>13</v>
      </c>
      <c r="O44" s="6" t="n">
        <v>34</v>
      </c>
      <c r="P44" s="5" t="inlineStr">
        <is>
          <t>yes</t>
        </is>
      </c>
      <c r="Q44" s="5" t="inlineStr">
        <is>
          <t>matches</t>
        </is>
      </c>
    </row>
    <row r="45">
      <c r="A45" s="12" t="inlineStr">
        <is>
          <t>Silver</t>
        </is>
      </c>
      <c r="B45" s="5" t="inlineStr">
        <is>
          <t>Daily Silver Slots</t>
        </is>
      </c>
      <c r="C45" s="5" t="inlineStr">
        <is>
          <t>127</t>
        </is>
      </c>
      <c r="D45" s="5" t="inlineStr">
        <is>
          <t>silverslotsdaily</t>
        </is>
      </c>
      <c r="E45" s="6" t="n">
        <v>6</v>
      </c>
      <c r="F45" s="8" t="n">
        <v>6</v>
      </c>
      <c r="G45" s="6" t="n">
        <v>175</v>
      </c>
      <c r="H45" s="5" t="inlineStr">
        <is>
          <t>2026-09-05</t>
        </is>
      </c>
      <c r="I45" s="6" t="n">
        <v>2</v>
      </c>
      <c r="J45" s="6" t="n">
        <v>6</v>
      </c>
      <c r="K45" s="5" t="inlineStr">
        <is>
          <t>1270171, 1270172, 1270173, 1270174, 1270176, 1270177</t>
        </is>
      </c>
      <c r="L45" s="5" t="inlineStr">
        <is>
          <t>40-79</t>
        </is>
      </c>
      <c r="M45" s="6" t="n">
        <v>64</v>
      </c>
      <c r="N45" s="6" t="n">
        <v>13</v>
      </c>
      <c r="O45" s="6" t="n">
        <v>30</v>
      </c>
      <c r="P45" s="5" t="inlineStr">
        <is>
          <t>yes</t>
        </is>
      </c>
      <c r="Q45" s="5" t="inlineStr">
        <is>
          <t>matches</t>
        </is>
      </c>
    </row>
    <row r="46">
      <c r="A46" s="12" t="inlineStr">
        <is>
          <t>Silver</t>
        </is>
      </c>
      <c r="B46" s="5" t="inlineStr">
        <is>
          <t>Thursday Silver Spectacular</t>
        </is>
      </c>
      <c r="C46" s="5" t="inlineStr">
        <is>
          <t>151</t>
        </is>
      </c>
      <c r="D46" s="5" t="inlineStr">
        <is>
          <t>silverweekly</t>
        </is>
      </c>
      <c r="E46" s="6" t="n">
        <v>1</v>
      </c>
      <c r="F46" s="7" t="n">
        <v>1</v>
      </c>
      <c r="G46" s="6" t="n">
        <v>23</v>
      </c>
      <c r="H46" s="5" t="inlineStr">
        <is>
          <t>2026-08-27</t>
        </is>
      </c>
      <c r="I46" s="6" t="n">
        <v>11</v>
      </c>
      <c r="J46" s="6" t="n">
        <v>2</v>
      </c>
      <c r="K46" s="5" t="inlineStr">
        <is>
          <t>1510024, 1510025</t>
        </is>
      </c>
      <c r="L46" s="5" t="inlineStr">
        <is>
          <t>40-79</t>
        </is>
      </c>
      <c r="M46" s="6" t="n">
        <v>256</v>
      </c>
      <c r="N46" s="6" t="n">
        <v>4</v>
      </c>
      <c r="O46" s="6" t="n">
        <v>2</v>
      </c>
      <c r="P46" s="5" t="inlineStr">
        <is>
          <t>yes</t>
        </is>
      </c>
      <c r="Q46" s="5" t="inlineStr">
        <is>
          <t>matches</t>
        </is>
      </c>
    </row>
    <row r="47">
      <c r="A47" s="12" t="inlineStr">
        <is>
          <t>Silver</t>
        </is>
      </c>
      <c r="B47" s="5" t="inlineStr">
        <is>
          <t>Daily Live Silver</t>
        </is>
      </c>
      <c r="C47" s="5" t="inlineStr">
        <is>
          <t>126</t>
        </is>
      </c>
      <c r="D47" s="5" t="inlineStr">
        <is>
          <t>livesilverdaily</t>
        </is>
      </c>
      <c r="E47" s="6" t="n">
        <v>1</v>
      </c>
      <c r="F47" s="7" t="n">
        <v>1</v>
      </c>
      <c r="G47" s="6" t="n">
        <v>139</v>
      </c>
      <c r="H47" s="5" t="inlineStr">
        <is>
          <t>2026-07-31</t>
        </is>
      </c>
      <c r="I47" s="6" t="n">
        <v>38</v>
      </c>
      <c r="J47" s="6" t="n">
        <v>7</v>
      </c>
      <c r="K47" s="5" t="inlineStr">
        <is>
          <t>1260171, 1260172, 1260173, 1260174, 1260175, 1260176, 1260177</t>
        </is>
      </c>
      <c r="L47" s="5" t="inlineStr">
        <is>
          <t>40-79</t>
        </is>
      </c>
      <c r="M47" s="6" t="n">
        <v>64</v>
      </c>
      <c r="N47" s="6" t="n">
        <v>3</v>
      </c>
      <c r="O47" s="6" t="n">
        <v>1</v>
      </c>
      <c r="P47" s="5" t="inlineStr">
        <is>
          <t>yes</t>
        </is>
      </c>
      <c r="Q47" s="5" t="inlineStr">
        <is>
          <t>matches</t>
        </is>
      </c>
    </row>
    <row r="48">
      <c r="A48" s="12" t="inlineStr">
        <is>
          <t>Silver</t>
        </is>
      </c>
      <c r="B48" s="5" t="inlineStr">
        <is>
          <t>Daily Low Silver Only</t>
        </is>
      </c>
      <c r="C48" s="5" t="inlineStr"/>
      <c r="D48" s="5" t="inlineStr">
        <is>
          <t>lowsilveronly</t>
        </is>
      </c>
      <c r="E48" s="6" t="n">
        <v>1</v>
      </c>
      <c r="F48" s="8" t="n">
        <v>1</v>
      </c>
      <c r="G48" s="6" t="n">
        <v>3</v>
      </c>
      <c r="H48" s="5" t="inlineStr"/>
      <c r="I48" s="5" t="inlineStr"/>
      <c r="J48" s="6" t="n">
        <v>0</v>
      </c>
      <c r="K48" s="5" t="inlineStr"/>
      <c r="L48" s="5" t="inlineStr">
        <is>
          <t>70-74</t>
        </is>
      </c>
      <c r="M48" s="6" t="n">
        <v>64</v>
      </c>
      <c r="N48" s="6" t="n">
        <v>0</v>
      </c>
      <c r="O48" s="6" t="n">
        <v>0</v>
      </c>
      <c r="P48" s="5" t="inlineStr">
        <is>
          <t>yes</t>
        </is>
      </c>
      <c r="Q48" s="5" t="inlineStr">
        <is>
          <t>—</t>
        </is>
      </c>
    </row>
    <row r="49">
      <c r="A49" s="12" t="inlineStr">
        <is>
          <t>Silver</t>
        </is>
      </c>
      <c r="B49" s="5" t="inlineStr">
        <is>
          <t>Daily Silver &amp; Friends Slots</t>
        </is>
      </c>
      <c r="C49" s="5" t="inlineStr"/>
      <c r="D49" s="5" t="inlineStr">
        <is>
          <t>silverfriendsslots</t>
        </is>
      </c>
      <c r="E49" s="6" t="n">
        <v>1</v>
      </c>
      <c r="F49" s="8" t="n">
        <v>1</v>
      </c>
      <c r="G49" s="6" t="n">
        <v>100</v>
      </c>
      <c r="H49" s="5" t="inlineStr"/>
      <c r="I49" s="5" t="inlineStr"/>
      <c r="J49" s="6" t="n">
        <v>0</v>
      </c>
      <c r="K49" s="5" t="inlineStr"/>
      <c r="L49" s="5" t="inlineStr"/>
      <c r="M49" s="6" t="n">
        <v>64</v>
      </c>
      <c r="N49" s="6" t="n">
        <v>0</v>
      </c>
      <c r="O49" s="6" t="n">
        <v>0</v>
      </c>
      <c r="P49" s="5" t="inlineStr">
        <is>
          <t>yes</t>
        </is>
      </c>
      <c r="Q49" s="5" t="inlineStr">
        <is>
          <t>—</t>
        </is>
      </c>
    </row>
    <row r="50">
      <c r="A50" s="12" t="inlineStr">
        <is>
          <t>Silver</t>
        </is>
      </c>
      <c r="B50" s="5" t="inlineStr">
        <is>
          <t>Friday Nightmare Cap</t>
        </is>
      </c>
      <c r="C50" s="5" t="inlineStr">
        <is>
          <t>154</t>
        </is>
      </c>
      <c r="D50" s="5" t="inlineStr"/>
      <c r="E50" s="6" t="n">
        <v>0</v>
      </c>
      <c r="F50" s="9" t="n">
        <v>0</v>
      </c>
      <c r="G50" s="5" t="inlineStr"/>
      <c r="H50" s="5" t="inlineStr"/>
      <c r="I50" s="5" t="inlineStr"/>
      <c r="J50" s="6" t="n">
        <v>1</v>
      </c>
      <c r="K50" s="5" t="inlineStr">
        <is>
          <t>1540024</t>
        </is>
      </c>
      <c r="L50" s="5" t="inlineStr">
        <is>
          <t>50-74</t>
        </is>
      </c>
      <c r="M50" s="6" t="n">
        <v>128</v>
      </c>
      <c r="N50" s="6" t="n">
        <v>3</v>
      </c>
      <c r="O50" s="6" t="n">
        <v>3</v>
      </c>
      <c r="P50" s="5" t="inlineStr">
        <is>
          <t>yes</t>
        </is>
      </c>
      <c r="Q50" s="5" t="inlineStr">
        <is>
          <t>—</t>
        </is>
      </c>
    </row>
    <row r="51">
      <c r="A51" s="12" t="inlineStr">
        <is>
          <t>Silver</t>
        </is>
      </c>
      <c r="B51" s="5" t="inlineStr">
        <is>
          <t>Daily Early Silver</t>
        </is>
      </c>
      <c r="C51" s="5" t="inlineStr"/>
      <c r="D51" s="5" t="inlineStr">
        <is>
          <t>earlysilver</t>
        </is>
      </c>
      <c r="E51" s="6" t="n">
        <v>0</v>
      </c>
      <c r="F51" s="9" t="n">
        <v>0</v>
      </c>
      <c r="G51" s="5" t="inlineStr"/>
      <c r="H51" s="5" t="inlineStr"/>
      <c r="I51" s="5" t="inlineStr"/>
      <c r="J51" s="6" t="n">
        <v>0</v>
      </c>
      <c r="K51" s="5" t="inlineStr"/>
      <c r="L51" s="5" t="inlineStr">
        <is>
          <t>40-79</t>
        </is>
      </c>
      <c r="M51" s="6" t="n">
        <v>64</v>
      </c>
      <c r="N51" s="6" t="n">
        <v>0</v>
      </c>
      <c r="O51" s="6" t="n">
        <v>0</v>
      </c>
      <c r="P51" s="5" t="inlineStr">
        <is>
          <t>yes</t>
        </is>
      </c>
      <c r="Q51" s="5" t="inlineStr">
        <is>
          <t>—</t>
        </is>
      </c>
    </row>
    <row r="52">
      <c r="A52" s="12" t="inlineStr">
        <is>
          <t>Silver</t>
        </is>
      </c>
      <c r="B52" s="5" t="inlineStr">
        <is>
          <t>Daily Roaring Silvers</t>
        </is>
      </c>
      <c r="C52" s="5" t="inlineStr"/>
      <c r="D52" s="5" t="inlineStr">
        <is>
          <t>roaringsilvers</t>
        </is>
      </c>
      <c r="E52" s="6" t="n">
        <v>0</v>
      </c>
      <c r="F52" s="9" t="n">
        <v>0</v>
      </c>
      <c r="G52" s="5" t="inlineStr"/>
      <c r="H52" s="5" t="inlineStr"/>
      <c r="I52" s="5" t="inlineStr"/>
      <c r="J52" s="6" t="n">
        <v>0</v>
      </c>
      <c r="K52" s="5" t="inlineStr"/>
      <c r="L52" s="5" t="inlineStr">
        <is>
          <t>40-79</t>
        </is>
      </c>
      <c r="M52" s="6" t="n">
        <v>64</v>
      </c>
      <c r="N52" s="6" t="n">
        <v>0</v>
      </c>
      <c r="O52" s="6" t="n">
        <v>0</v>
      </c>
      <c r="P52" s="5" t="inlineStr">
        <is>
          <t>yes</t>
        </is>
      </c>
      <c r="Q52" s="5" t="inlineStr">
        <is>
          <t>—</t>
        </is>
      </c>
    </row>
    <row r="53">
      <c r="A53" s="12" t="inlineStr">
        <is>
          <t>Silver</t>
        </is>
      </c>
      <c r="B53" s="5" t="inlineStr">
        <is>
          <t>Daily Silver Cap</t>
        </is>
      </c>
      <c r="C53" s="5" t="inlineStr"/>
      <c r="D53" s="5" t="inlineStr"/>
      <c r="E53" s="6" t="n">
        <v>0</v>
      </c>
      <c r="F53" s="9" t="n">
        <v>0</v>
      </c>
      <c r="G53" s="5" t="inlineStr"/>
      <c r="H53" s="5" t="inlineStr"/>
      <c r="I53" s="5" t="inlineStr"/>
      <c r="J53" s="6" t="n">
        <v>0</v>
      </c>
      <c r="K53" s="5" t="inlineStr"/>
      <c r="L53" s="5" t="inlineStr">
        <is>
          <t>40-79</t>
        </is>
      </c>
      <c r="M53" s="6" t="n">
        <v>32</v>
      </c>
      <c r="N53" s="6" t="n">
        <v>0</v>
      </c>
      <c r="O53" s="6" t="n">
        <v>0</v>
      </c>
      <c r="P53" s="5" t="inlineStr">
        <is>
          <t>yes</t>
        </is>
      </c>
      <c r="Q53" s="5" t="inlineStr">
        <is>
          <t>—</t>
        </is>
      </c>
    </row>
    <row r="54">
      <c r="A54" s="12" t="inlineStr">
        <is>
          <t>Silver</t>
        </is>
      </c>
      <c r="B54" s="5" t="inlineStr">
        <is>
          <t>Daily Silver Only Cap</t>
        </is>
      </c>
      <c r="C54" s="5" t="inlineStr"/>
      <c r="D54" s="5" t="inlineStr">
        <is>
          <t>silveronlycapdaily</t>
        </is>
      </c>
      <c r="E54" s="6" t="n">
        <v>0</v>
      </c>
      <c r="F54" s="9" t="n">
        <v>0</v>
      </c>
      <c r="G54" s="5" t="inlineStr"/>
      <c r="H54" s="5" t="inlineStr"/>
      <c r="I54" s="5" t="inlineStr"/>
      <c r="J54" s="6" t="n">
        <v>0</v>
      </c>
      <c r="K54" s="5" t="inlineStr"/>
      <c r="L54" s="5" t="inlineStr">
        <is>
          <t>70-79</t>
        </is>
      </c>
      <c r="M54" s="6" t="n">
        <v>64</v>
      </c>
      <c r="N54" s="6" t="n">
        <v>0</v>
      </c>
      <c r="O54" s="6" t="n">
        <v>0</v>
      </c>
      <c r="P54" s="5" t="inlineStr">
        <is>
          <t>yes</t>
        </is>
      </c>
      <c r="Q54" s="5" t="inlineStr">
        <is>
          <t>—</t>
        </is>
      </c>
    </row>
    <row r="55">
      <c r="A55" s="12" t="inlineStr">
        <is>
          <t>Silver</t>
        </is>
      </c>
      <c r="B55" s="5" t="inlineStr">
        <is>
          <t>Daily Silver Snapshots</t>
        </is>
      </c>
      <c r="C55" s="5" t="inlineStr"/>
      <c r="D55" s="5" t="inlineStr">
        <is>
          <t>silversnapshots</t>
        </is>
      </c>
      <c r="E55" s="6" t="n">
        <v>0</v>
      </c>
      <c r="F55" s="9" t="n">
        <v>0</v>
      </c>
      <c r="G55" s="5" t="inlineStr"/>
      <c r="H55" s="5" t="inlineStr"/>
      <c r="I55" s="5" t="inlineStr"/>
      <c r="J55" s="6" t="n">
        <v>0</v>
      </c>
      <c r="K55" s="5" t="inlineStr"/>
      <c r="L55" s="5" t="inlineStr">
        <is>
          <t>40-79</t>
        </is>
      </c>
      <c r="M55" s="6" t="n">
        <v>128</v>
      </c>
      <c r="N55" s="6" t="n">
        <v>0</v>
      </c>
      <c r="O55" s="6" t="n">
        <v>0</v>
      </c>
      <c r="P55" s="5" t="inlineStr">
        <is>
          <t>yes</t>
        </is>
      </c>
      <c r="Q55" s="5" t="inlineStr">
        <is>
          <t>—</t>
        </is>
      </c>
    </row>
    <row r="56">
      <c r="A56" s="12" t="inlineStr">
        <is>
          <t>Silver</t>
        </is>
      </c>
      <c r="B56" s="5" t="inlineStr">
        <is>
          <t>EF 4T Silver</t>
        </is>
      </c>
      <c r="C56" s="5" t="inlineStr"/>
      <c r="D56" s="5" t="inlineStr"/>
      <c r="E56" s="6" t="n">
        <v>0</v>
      </c>
      <c r="F56" s="9" t="n">
        <v>0</v>
      </c>
      <c r="G56" s="5" t="inlineStr"/>
      <c r="H56" s="5" t="inlineStr"/>
      <c r="I56" s="5" t="inlineStr"/>
      <c r="J56" s="6" t="n">
        <v>0</v>
      </c>
      <c r="K56" s="5" t="inlineStr"/>
      <c r="L56" s="5" t="inlineStr">
        <is>
          <t>40-79</t>
        </is>
      </c>
      <c r="M56" s="5" t="inlineStr"/>
      <c r="N56" s="6" t="n">
        <v>0</v>
      </c>
      <c r="O56" s="6" t="n">
        <v>0</v>
      </c>
      <c r="P56" s="5" t="inlineStr">
        <is>
          <t>yes</t>
        </is>
      </c>
      <c r="Q56" s="5" t="inlineStr">
        <is>
          <t>—</t>
        </is>
      </c>
    </row>
    <row r="57">
      <c r="A57" s="12" t="inlineStr">
        <is>
          <t>Silver</t>
        </is>
      </c>
      <c r="B57" s="5" t="inlineStr">
        <is>
          <t>EF H2H Silver</t>
        </is>
      </c>
      <c r="C57" s="5" t="inlineStr"/>
      <c r="D57" s="5" t="inlineStr"/>
      <c r="E57" s="6" t="n">
        <v>0</v>
      </c>
      <c r="F57" s="9" t="n">
        <v>0</v>
      </c>
      <c r="G57" s="5" t="inlineStr"/>
      <c r="H57" s="5" t="inlineStr"/>
      <c r="I57" s="5" t="inlineStr"/>
      <c r="J57" s="6" t="n">
        <v>0</v>
      </c>
      <c r="K57" s="5" t="inlineStr"/>
      <c r="L57" s="5" t="inlineStr">
        <is>
          <t>40-79</t>
        </is>
      </c>
      <c r="M57" s="5" t="inlineStr"/>
      <c r="N57" s="6" t="n">
        <v>0</v>
      </c>
      <c r="O57" s="6" t="n">
        <v>0</v>
      </c>
      <c r="P57" s="5" t="inlineStr">
        <is>
          <t>yes</t>
        </is>
      </c>
      <c r="Q57" s="5" t="inlineStr">
        <is>
          <t>—</t>
        </is>
      </c>
    </row>
    <row r="58">
      <c r="A58" s="12" t="inlineStr">
        <is>
          <t>Silver</t>
        </is>
      </c>
      <c r="B58" s="5" t="inlineStr">
        <is>
          <t>Silver Quick</t>
        </is>
      </c>
      <c r="C58" s="5" t="inlineStr"/>
      <c r="D58" s="5" t="inlineStr"/>
      <c r="E58" s="6" t="n">
        <v>0</v>
      </c>
      <c r="F58" s="9" t="n">
        <v>0</v>
      </c>
      <c r="G58" s="5" t="inlineStr"/>
      <c r="H58" s="5" t="inlineStr"/>
      <c r="I58" s="5" t="inlineStr"/>
      <c r="J58" s="6" t="n">
        <v>0</v>
      </c>
      <c r="K58" s="5" t="inlineStr"/>
      <c r="L58" s="5" t="inlineStr">
        <is>
          <t>40-79</t>
        </is>
      </c>
      <c r="M58" s="6" t="n">
        <v>16</v>
      </c>
      <c r="N58" s="6" t="n">
        <v>0</v>
      </c>
      <c r="O58" s="6" t="n">
        <v>0</v>
      </c>
      <c r="P58" s="5" t="inlineStr">
        <is>
          <t>yes</t>
        </is>
      </c>
      <c r="Q58" s="5" t="inlineStr">
        <is>
          <t>—</t>
        </is>
      </c>
    </row>
    <row r="59">
      <c r="A59" s="12" t="inlineStr">
        <is>
          <t>Silver</t>
        </is>
      </c>
      <c r="B59" s="5" t="inlineStr">
        <is>
          <t>PTCS 6 Championship - Cap</t>
        </is>
      </c>
      <c r="C59" s="5" t="inlineStr"/>
      <c r="D59" s="5" t="inlineStr">
        <is>
          <t>PTCS 6 Championship</t>
        </is>
      </c>
      <c r="E59" s="6" t="n">
        <v>0</v>
      </c>
      <c r="F59" s="9" t="n">
        <v>0</v>
      </c>
      <c r="G59" s="5" t="inlineStr"/>
      <c r="H59" s="5" t="inlineStr"/>
      <c r="I59" s="5" t="inlineStr"/>
      <c r="J59" s="6" t="n">
        <v>0</v>
      </c>
      <c r="K59" s="5" t="inlineStr"/>
      <c r="L59" s="5" t="inlineStr">
        <is>
          <t>50-74</t>
        </is>
      </c>
      <c r="M59" s="5" t="inlineStr"/>
      <c r="N59" s="6" t="n">
        <v>0</v>
      </c>
      <c r="O59" s="6" t="n">
        <v>0</v>
      </c>
      <c r="P59" s="10" t="inlineStr">
        <is>
          <t>duplicate listing — exports counted on "PTCS 6 Championship - Bronze"</t>
        </is>
      </c>
      <c r="Q59" s="5" t="inlineStr">
        <is>
          <t>—</t>
        </is>
      </c>
    </row>
    <row r="60">
      <c r="A60" s="12" t="inlineStr">
        <is>
          <t>Silver</t>
        </is>
      </c>
      <c r="B60" s="5" t="inlineStr">
        <is>
          <t>PTCS 6 Championship - Silver</t>
        </is>
      </c>
      <c r="C60" s="5" t="inlineStr"/>
      <c r="D60" s="5" t="inlineStr">
        <is>
          <t>PTCS 6 Championship</t>
        </is>
      </c>
      <c r="E60" s="6" t="n">
        <v>0</v>
      </c>
      <c r="F60" s="9" t="n">
        <v>0</v>
      </c>
      <c r="G60" s="5" t="inlineStr"/>
      <c r="H60" s="5" t="inlineStr"/>
      <c r="I60" s="5" t="inlineStr"/>
      <c r="J60" s="6" t="n">
        <v>0</v>
      </c>
      <c r="K60" s="5" t="inlineStr"/>
      <c r="L60" s="5" t="inlineStr">
        <is>
          <t>40-79</t>
        </is>
      </c>
      <c r="M60" s="5" t="inlineStr"/>
      <c r="N60" s="6" t="n">
        <v>0</v>
      </c>
      <c r="O60" s="6" t="n">
        <v>0</v>
      </c>
      <c r="P60" s="10" t="inlineStr">
        <is>
          <t>duplicate listing — exports counted on "PTCS 6 Championship - Bronze"</t>
        </is>
      </c>
      <c r="Q60" s="5" t="inlineStr">
        <is>
          <t>—</t>
        </is>
      </c>
    </row>
    <row r="61">
      <c r="A61" s="13" t="inlineStr">
        <is>
          <t>Bronze</t>
        </is>
      </c>
      <c r="B61" s="5" t="inlineStr">
        <is>
          <t>Daily Bronze 1910-59</t>
        </is>
      </c>
      <c r="C61" s="5" t="inlineStr">
        <is>
          <t>164</t>
        </is>
      </c>
      <c r="D61" s="5" t="inlineStr">
        <is>
          <t>bronze10to50</t>
        </is>
      </c>
      <c r="E61" s="6" t="n">
        <v>3</v>
      </c>
      <c r="F61" s="7" t="n">
        <v>3</v>
      </c>
      <c r="G61" s="6" t="n">
        <v>162</v>
      </c>
      <c r="H61" s="5" t="inlineStr">
        <is>
          <t>2026-08-27</t>
        </is>
      </c>
      <c r="I61" s="6" t="n">
        <v>11</v>
      </c>
      <c r="J61" s="6" t="n">
        <v>7</v>
      </c>
      <c r="K61" s="5" t="inlineStr">
        <is>
          <t>1640167, 1640168, 1640169, 1640170, 1640171, 1640172, 1640173</t>
        </is>
      </c>
      <c r="L61" s="5" t="inlineStr">
        <is>
          <t>40-69</t>
        </is>
      </c>
      <c r="M61" s="6" t="n">
        <v>64</v>
      </c>
      <c r="N61" s="6" t="n">
        <v>3</v>
      </c>
      <c r="O61" s="6" t="n">
        <v>1</v>
      </c>
      <c r="P61" s="5" t="inlineStr">
        <is>
          <t>yes</t>
        </is>
      </c>
      <c r="Q61" s="5" t="inlineStr">
        <is>
          <t>matches</t>
        </is>
      </c>
    </row>
    <row r="62">
      <c r="A62" s="13" t="inlineStr">
        <is>
          <t>Bronze</t>
        </is>
      </c>
      <c r="B62" s="5" t="inlineStr">
        <is>
          <t>Daily Bronze OOTP Era</t>
        </is>
      </c>
      <c r="C62" s="5" t="inlineStr">
        <is>
          <t>182</t>
        </is>
      </c>
      <c r="D62" s="5" t="inlineStr">
        <is>
          <t>bronzeootp</t>
        </is>
      </c>
      <c r="E62" s="6" t="n">
        <v>3</v>
      </c>
      <c r="F62" s="8" t="n">
        <v>3</v>
      </c>
      <c r="G62" s="6" t="n">
        <v>161</v>
      </c>
      <c r="H62" s="5" t="inlineStr">
        <is>
          <t>2026-09-07</t>
        </is>
      </c>
      <c r="I62" s="6" t="n">
        <v>0</v>
      </c>
      <c r="J62" s="6" t="n">
        <v>6</v>
      </c>
      <c r="K62" s="5" t="inlineStr">
        <is>
          <t>1820155, 1820156, 1820157, 1820158, 1820159, 1820160</t>
        </is>
      </c>
      <c r="L62" s="5" t="inlineStr">
        <is>
          <t>40-69</t>
        </is>
      </c>
      <c r="M62" s="6" t="n">
        <v>128</v>
      </c>
      <c r="N62" s="6" t="n">
        <v>3</v>
      </c>
      <c r="O62" s="6" t="n">
        <v>0</v>
      </c>
      <c r="P62" s="5" t="inlineStr">
        <is>
          <t>yes</t>
        </is>
      </c>
      <c r="Q62" s="5" t="inlineStr">
        <is>
          <t>matches</t>
        </is>
      </c>
    </row>
    <row r="63">
      <c r="A63" s="13" t="inlineStr">
        <is>
          <t>Bronze</t>
        </is>
      </c>
      <c r="B63" s="5" t="inlineStr">
        <is>
          <t>Daily Bronze Only Cap</t>
        </is>
      </c>
      <c r="C63" s="5" t="inlineStr">
        <is>
          <t>120</t>
        </is>
      </c>
      <c r="D63" s="5" t="inlineStr">
        <is>
          <t>bronzeonlycapdaily</t>
        </is>
      </c>
      <c r="E63" s="6" t="n">
        <v>2</v>
      </c>
      <c r="F63" s="7" t="n">
        <v>2</v>
      </c>
      <c r="G63" s="6" t="n">
        <v>167</v>
      </c>
      <c r="H63" s="5" t="inlineStr">
        <is>
          <t>2026-08-28</t>
        </is>
      </c>
      <c r="I63" s="6" t="n">
        <v>10</v>
      </c>
      <c r="J63" s="6" t="n">
        <v>7</v>
      </c>
      <c r="K63" s="5" t="inlineStr">
        <is>
          <t>1200171, 1200172, 1200173, 1200174, 1200175, 1200176, 1200177</t>
        </is>
      </c>
      <c r="L63" s="5" t="inlineStr">
        <is>
          <t>60-69</t>
        </is>
      </c>
      <c r="M63" s="6" t="n">
        <v>64</v>
      </c>
      <c r="N63" s="6" t="n">
        <v>2</v>
      </c>
      <c r="O63" s="6" t="n">
        <v>0</v>
      </c>
      <c r="P63" s="5" t="inlineStr">
        <is>
          <t>yes</t>
        </is>
      </c>
      <c r="Q63" s="5" t="inlineStr">
        <is>
          <t>matches</t>
        </is>
      </c>
    </row>
    <row r="64">
      <c r="A64" s="13" t="inlineStr">
        <is>
          <t>Bronze</t>
        </is>
      </c>
      <c r="B64" s="5" t="inlineStr">
        <is>
          <t>Monday Up And At Them Bronze</t>
        </is>
      </c>
      <c r="C64" s="5" t="inlineStr">
        <is>
          <t>142</t>
        </is>
      </c>
      <c r="D64" s="5" t="inlineStr">
        <is>
          <t>bronzeweekly</t>
        </is>
      </c>
      <c r="E64" s="6" t="n">
        <v>1</v>
      </c>
      <c r="F64" s="7" t="n">
        <v>1</v>
      </c>
      <c r="G64" s="6" t="n">
        <v>23</v>
      </c>
      <c r="H64" s="5" t="inlineStr">
        <is>
          <t>2026-08-24</t>
        </is>
      </c>
      <c r="I64" s="6" t="n">
        <v>14</v>
      </c>
      <c r="J64" s="6" t="n">
        <v>2</v>
      </c>
      <c r="K64" s="5" t="inlineStr">
        <is>
          <t>1420024, 1420025</t>
        </is>
      </c>
      <c r="L64" s="5" t="inlineStr">
        <is>
          <t>40-69</t>
        </is>
      </c>
      <c r="M64" s="6" t="n">
        <v>256</v>
      </c>
      <c r="N64" s="6" t="n">
        <v>2</v>
      </c>
      <c r="O64" s="6" t="n">
        <v>1</v>
      </c>
      <c r="P64" s="5" t="inlineStr">
        <is>
          <t>yes</t>
        </is>
      </c>
      <c r="Q64" s="5" t="inlineStr">
        <is>
          <t>matches</t>
        </is>
      </c>
    </row>
    <row r="65">
      <c r="A65" s="13" t="inlineStr">
        <is>
          <t>Bronze</t>
        </is>
      </c>
      <c r="B65" s="5" t="inlineStr">
        <is>
          <t>Daily Bronze PTCS 3 Replay Slots</t>
        </is>
      </c>
      <c r="C65" s="5" t="inlineStr">
        <is>
          <t>189</t>
        </is>
      </c>
      <c r="D65" s="5" t="inlineStr">
        <is>
          <t>bronzeptcs3</t>
        </is>
      </c>
      <c r="E65" s="6" t="n">
        <v>2</v>
      </c>
      <c r="F65" s="8" t="n">
        <v>2</v>
      </c>
      <c r="G65" s="6" t="n">
        <v>100</v>
      </c>
      <c r="H65" s="5" t="inlineStr"/>
      <c r="I65" s="5" t="inlineStr"/>
      <c r="J65" s="6" t="n">
        <v>0</v>
      </c>
      <c r="K65" s="5" t="inlineStr"/>
      <c r="L65" s="5" t="inlineStr">
        <is>
          <t>40-69</t>
        </is>
      </c>
      <c r="M65" s="6" t="n">
        <v>64</v>
      </c>
      <c r="N65" s="6" t="n">
        <v>1</v>
      </c>
      <c r="O65" s="6" t="n">
        <v>0</v>
      </c>
      <c r="P65" s="5" t="inlineStr">
        <is>
          <t>yes</t>
        </is>
      </c>
      <c r="Q65" s="5" t="inlineStr">
        <is>
          <t>—</t>
        </is>
      </c>
    </row>
    <row r="66">
      <c r="A66" s="13" t="inlineStr">
        <is>
          <t>Bronze</t>
        </is>
      </c>
      <c r="B66" s="5" t="inlineStr">
        <is>
          <t>Daily Low Bronze</t>
        </is>
      </c>
      <c r="C66" s="5" t="inlineStr">
        <is>
          <t>122</t>
        </is>
      </c>
      <c r="D66" s="5" t="inlineStr"/>
      <c r="E66" s="6" t="n">
        <v>0</v>
      </c>
      <c r="F66" s="9" t="n">
        <v>0</v>
      </c>
      <c r="G66" s="5" t="inlineStr"/>
      <c r="H66" s="5" t="inlineStr"/>
      <c r="I66" s="5" t="inlineStr"/>
      <c r="J66" s="6" t="n">
        <v>7</v>
      </c>
      <c r="K66" s="5" t="inlineStr">
        <is>
          <t>1220171, 1220172, 1220173, 1220174, 1220175, 1220176, 1220177</t>
        </is>
      </c>
      <c r="L66" s="5" t="inlineStr"/>
      <c r="M66" s="6" t="n">
        <v>64</v>
      </c>
      <c r="N66" s="6" t="n">
        <v>6</v>
      </c>
      <c r="O66" s="6" t="n">
        <v>57</v>
      </c>
      <c r="P66" s="5" t="inlineStr">
        <is>
          <t>yes</t>
        </is>
      </c>
      <c r="Q66" s="5" t="inlineStr">
        <is>
          <t>—</t>
        </is>
      </c>
    </row>
    <row r="67">
      <c r="A67" s="13" t="inlineStr">
        <is>
          <t>Bronze</t>
        </is>
      </c>
      <c r="B67" s="5" t="inlineStr">
        <is>
          <t>Daily Return of the Bronze</t>
        </is>
      </c>
      <c r="C67" s="5" t="inlineStr">
        <is>
          <t>118</t>
        </is>
      </c>
      <c r="D67" s="5" t="inlineStr"/>
      <c r="E67" s="6" t="n">
        <v>0</v>
      </c>
      <c r="F67" s="9" t="n">
        <v>0</v>
      </c>
      <c r="G67" s="5" t="inlineStr"/>
      <c r="H67" s="5" t="inlineStr"/>
      <c r="I67" s="5" t="inlineStr"/>
      <c r="J67" s="6" t="n">
        <v>7</v>
      </c>
      <c r="K67" s="5" t="inlineStr">
        <is>
          <t>1180171, 1180172, 1180173, 1180174, 1180175, 1180176, 1180177</t>
        </is>
      </c>
      <c r="L67" s="5" t="inlineStr"/>
      <c r="M67" s="6" t="n">
        <v>128</v>
      </c>
      <c r="N67" s="6" t="n">
        <v>5</v>
      </c>
      <c r="O67" s="6" t="n">
        <v>6</v>
      </c>
      <c r="P67" s="5" t="inlineStr">
        <is>
          <t>yes</t>
        </is>
      </c>
      <c r="Q67" s="5" t="inlineStr">
        <is>
          <t>—</t>
        </is>
      </c>
    </row>
    <row r="68">
      <c r="A68" s="13" t="inlineStr">
        <is>
          <t>Bronze</t>
        </is>
      </c>
      <c r="B68" s="5" t="inlineStr">
        <is>
          <t>Bronze Quick</t>
        </is>
      </c>
      <c r="C68" s="5" t="inlineStr"/>
      <c r="D68" s="5" t="inlineStr"/>
      <c r="E68" s="6" t="n">
        <v>0</v>
      </c>
      <c r="F68" s="9" t="n">
        <v>0</v>
      </c>
      <c r="G68" s="5" t="inlineStr"/>
      <c r="H68" s="5" t="inlineStr"/>
      <c r="I68" s="5" t="inlineStr"/>
      <c r="J68" s="6" t="n">
        <v>0</v>
      </c>
      <c r="K68" s="5" t="inlineStr"/>
      <c r="L68" s="5" t="inlineStr">
        <is>
          <t>40-69</t>
        </is>
      </c>
      <c r="M68" s="6" t="n">
        <v>16</v>
      </c>
      <c r="N68" s="6" t="n">
        <v>0</v>
      </c>
      <c r="O68" s="6" t="n">
        <v>0</v>
      </c>
      <c r="P68" s="5" t="inlineStr">
        <is>
          <t>yes</t>
        </is>
      </c>
      <c r="Q68" s="5" t="inlineStr">
        <is>
          <t>—</t>
        </is>
      </c>
    </row>
    <row r="69">
      <c r="A69" s="13" t="inlineStr">
        <is>
          <t>Bronze</t>
        </is>
      </c>
      <c r="B69" s="5" t="inlineStr">
        <is>
          <t>Daily Bronze Only Curiosities</t>
        </is>
      </c>
      <c r="C69" s="5" t="inlineStr"/>
      <c r="D69" s="5" t="inlineStr">
        <is>
          <t>bronzecuriosity</t>
        </is>
      </c>
      <c r="E69" s="6" t="n">
        <v>0</v>
      </c>
      <c r="F69" s="9" t="n">
        <v>0</v>
      </c>
      <c r="G69" s="5" t="inlineStr"/>
      <c r="H69" s="5" t="inlineStr"/>
      <c r="I69" s="5" t="inlineStr"/>
      <c r="J69" s="6" t="n">
        <v>0</v>
      </c>
      <c r="K69" s="5" t="inlineStr"/>
      <c r="L69" s="5" t="inlineStr">
        <is>
          <t>60-69</t>
        </is>
      </c>
      <c r="M69" s="5" t="inlineStr"/>
      <c r="N69" s="6" t="n">
        <v>0</v>
      </c>
      <c r="O69" s="6" t="n">
        <v>0</v>
      </c>
      <c r="P69" s="5" t="inlineStr">
        <is>
          <t>yes</t>
        </is>
      </c>
      <c r="Q69" s="5" t="inlineStr">
        <is>
          <t>—</t>
        </is>
      </c>
    </row>
    <row r="70">
      <c r="A70" s="13" t="inlineStr">
        <is>
          <t>Bronze</t>
        </is>
      </c>
      <c r="B70" s="5" t="inlineStr">
        <is>
          <t>Daily Early Bronze</t>
        </is>
      </c>
      <c r="C70" s="5" t="inlineStr"/>
      <c r="D70" s="5" t="inlineStr">
        <is>
          <t>earlybronze</t>
        </is>
      </c>
      <c r="E70" s="6" t="n">
        <v>0</v>
      </c>
      <c r="F70" s="9" t="n">
        <v>0</v>
      </c>
      <c r="G70" s="5" t="inlineStr"/>
      <c r="H70" s="5" t="inlineStr"/>
      <c r="I70" s="5" t="inlineStr"/>
      <c r="J70" s="6" t="n">
        <v>0</v>
      </c>
      <c r="K70" s="5" t="inlineStr"/>
      <c r="L70" s="5" t="inlineStr">
        <is>
          <t>40-69</t>
        </is>
      </c>
      <c r="M70" s="5" t="inlineStr"/>
      <c r="N70" s="6" t="n">
        <v>0</v>
      </c>
      <c r="O70" s="6" t="n">
        <v>0</v>
      </c>
      <c r="P70" s="5" t="inlineStr">
        <is>
          <t>yes</t>
        </is>
      </c>
      <c r="Q70" s="5" t="inlineStr">
        <is>
          <t>—</t>
        </is>
      </c>
    </row>
    <row r="71">
      <c r="A71" s="13" t="inlineStr">
        <is>
          <t>Bronze</t>
        </is>
      </c>
      <c r="B71" s="5" t="inlineStr">
        <is>
          <t>Daily Late Bronze</t>
        </is>
      </c>
      <c r="C71" s="5" t="inlineStr"/>
      <c r="D71" s="5" t="inlineStr">
        <is>
          <t>latebronze</t>
        </is>
      </c>
      <c r="E71" s="6" t="n">
        <v>0</v>
      </c>
      <c r="F71" s="9" t="n">
        <v>0</v>
      </c>
      <c r="G71" s="5" t="inlineStr"/>
      <c r="H71" s="5" t="inlineStr"/>
      <c r="I71" s="5" t="inlineStr"/>
      <c r="J71" s="6" t="n">
        <v>0</v>
      </c>
      <c r="K71" s="5" t="inlineStr"/>
      <c r="L71" s="5" t="inlineStr">
        <is>
          <t>40-69</t>
        </is>
      </c>
      <c r="M71" s="6" t="n">
        <v>64</v>
      </c>
      <c r="N71" s="6" t="n">
        <v>0</v>
      </c>
      <c r="O71" s="6" t="n">
        <v>0</v>
      </c>
      <c r="P71" s="5" t="inlineStr">
        <is>
          <t>yes</t>
        </is>
      </c>
      <c r="Q71" s="5" t="inlineStr">
        <is>
          <t>—</t>
        </is>
      </c>
    </row>
    <row r="72">
      <c r="A72" s="13" t="inlineStr">
        <is>
          <t>Bronze</t>
        </is>
      </c>
      <c r="B72" s="5" t="inlineStr">
        <is>
          <t>Daily Live Bronze</t>
        </is>
      </c>
      <c r="C72" s="5" t="inlineStr"/>
      <c r="D72" s="5" t="inlineStr">
        <is>
          <t>livebronzedaily</t>
        </is>
      </c>
      <c r="E72" s="6" t="n">
        <v>0</v>
      </c>
      <c r="F72" s="9" t="n">
        <v>0</v>
      </c>
      <c r="G72" s="5" t="inlineStr"/>
      <c r="H72" s="5" t="inlineStr"/>
      <c r="I72" s="5" t="inlineStr"/>
      <c r="J72" s="6" t="n">
        <v>0</v>
      </c>
      <c r="K72" s="5" t="inlineStr"/>
      <c r="L72" s="5" t="inlineStr">
        <is>
          <t>40-69</t>
        </is>
      </c>
      <c r="M72" s="6" t="n">
        <v>64</v>
      </c>
      <c r="N72" s="6" t="n">
        <v>0</v>
      </c>
      <c r="O72" s="6" t="n">
        <v>0</v>
      </c>
      <c r="P72" s="5" t="inlineStr">
        <is>
          <t>yes</t>
        </is>
      </c>
      <c r="Q72" s="5" t="inlineStr">
        <is>
          <t>—</t>
        </is>
      </c>
    </row>
    <row r="73">
      <c r="A73" s="13" t="inlineStr">
        <is>
          <t>Bronze</t>
        </is>
      </c>
      <c r="B73" s="5" t="inlineStr">
        <is>
          <t>Daily Low Bronze Only</t>
        </is>
      </c>
      <c r="C73" s="5" t="inlineStr"/>
      <c r="D73" s="5" t="inlineStr">
        <is>
          <t>lowbronzeonlydaily</t>
        </is>
      </c>
      <c r="E73" s="6" t="n">
        <v>0</v>
      </c>
      <c r="F73" s="9" t="n">
        <v>0</v>
      </c>
      <c r="G73" s="5" t="inlineStr"/>
      <c r="H73" s="5" t="inlineStr"/>
      <c r="I73" s="5" t="inlineStr"/>
      <c r="J73" s="6" t="n">
        <v>0</v>
      </c>
      <c r="K73" s="5" t="inlineStr"/>
      <c r="L73" s="5" t="inlineStr">
        <is>
          <t>60-64</t>
        </is>
      </c>
      <c r="M73" s="6" t="n">
        <v>64</v>
      </c>
      <c r="N73" s="6" t="n">
        <v>0</v>
      </c>
      <c r="O73" s="6" t="n">
        <v>0</v>
      </c>
      <c r="P73" s="5" t="inlineStr">
        <is>
          <t>yes</t>
        </is>
      </c>
      <c r="Q73" s="5" t="inlineStr">
        <is>
          <t>—</t>
        </is>
      </c>
    </row>
    <row r="74">
      <c r="A74" s="13" t="inlineStr">
        <is>
          <t>Bronze</t>
        </is>
      </c>
      <c r="B74" s="5" t="inlineStr">
        <is>
          <t>EF 4T Bronze</t>
        </is>
      </c>
      <c r="C74" s="5" t="inlineStr"/>
      <c r="D74" s="5" t="inlineStr"/>
      <c r="E74" s="6" t="n">
        <v>0</v>
      </c>
      <c r="F74" s="9" t="n">
        <v>0</v>
      </c>
      <c r="G74" s="5" t="inlineStr"/>
      <c r="H74" s="5" t="inlineStr"/>
      <c r="I74" s="5" t="inlineStr"/>
      <c r="J74" s="6" t="n">
        <v>0</v>
      </c>
      <c r="K74" s="5" t="inlineStr"/>
      <c r="L74" s="5" t="inlineStr">
        <is>
          <t>40-69</t>
        </is>
      </c>
      <c r="M74" s="5" t="inlineStr"/>
      <c r="N74" s="6" t="n">
        <v>0</v>
      </c>
      <c r="O74" s="6" t="n">
        <v>0</v>
      </c>
      <c r="P74" s="5" t="inlineStr">
        <is>
          <t>yes</t>
        </is>
      </c>
      <c r="Q74" s="5" t="inlineStr">
        <is>
          <t>—</t>
        </is>
      </c>
    </row>
    <row r="75">
      <c r="A75" s="13" t="inlineStr">
        <is>
          <t>Bronze</t>
        </is>
      </c>
      <c r="B75" s="5" t="inlineStr">
        <is>
          <t>EF H2H Bronze</t>
        </is>
      </c>
      <c r="C75" s="5" t="inlineStr"/>
      <c r="D75" s="5" t="inlineStr"/>
      <c r="E75" s="6" t="n">
        <v>0</v>
      </c>
      <c r="F75" s="9" t="n">
        <v>0</v>
      </c>
      <c r="G75" s="5" t="inlineStr"/>
      <c r="H75" s="5" t="inlineStr"/>
      <c r="I75" s="5" t="inlineStr"/>
      <c r="J75" s="6" t="n">
        <v>0</v>
      </c>
      <c r="K75" s="5" t="inlineStr"/>
      <c r="L75" s="5" t="inlineStr">
        <is>
          <t>40-69</t>
        </is>
      </c>
      <c r="M75" s="6" t="n">
        <v>2</v>
      </c>
      <c r="N75" s="6" t="n">
        <v>0</v>
      </c>
      <c r="O75" s="6" t="n">
        <v>0</v>
      </c>
      <c r="P75" s="5" t="inlineStr">
        <is>
          <t>yes</t>
        </is>
      </c>
      <c r="Q75" s="5" t="inlineStr">
        <is>
          <t>—</t>
        </is>
      </c>
    </row>
    <row r="76">
      <c r="A76" s="13" t="inlineStr">
        <is>
          <t>Bronze</t>
        </is>
      </c>
      <c r="B76" s="5" t="inlineStr">
        <is>
          <t>PTCS 6 Championship - Bronze</t>
        </is>
      </c>
      <c r="C76" s="5" t="inlineStr"/>
      <c r="D76" s="5" t="inlineStr">
        <is>
          <t>PTCS 6 Championship</t>
        </is>
      </c>
      <c r="E76" s="6" t="n">
        <v>0</v>
      </c>
      <c r="F76" s="9" t="n">
        <v>0</v>
      </c>
      <c r="G76" s="5" t="inlineStr"/>
      <c r="H76" s="5" t="inlineStr"/>
      <c r="I76" s="5" t="inlineStr"/>
      <c r="J76" s="6" t="n">
        <v>0</v>
      </c>
      <c r="K76" s="5" t="inlineStr"/>
      <c r="L76" s="5" t="inlineStr">
        <is>
          <t>40-69</t>
        </is>
      </c>
      <c r="M76" s="5" t="inlineStr"/>
      <c r="N76" s="6" t="n">
        <v>0</v>
      </c>
      <c r="O76" s="6" t="n">
        <v>0</v>
      </c>
      <c r="P76" s="5" t="inlineStr">
        <is>
          <t>yes</t>
        </is>
      </c>
      <c r="Q76" s="5" t="inlineStr">
        <is>
          <t>—</t>
        </is>
      </c>
    </row>
    <row r="77">
      <c r="A77" s="13" t="inlineStr">
        <is>
          <t>Bronze</t>
        </is>
      </c>
      <c r="B77" s="5" t="inlineStr">
        <is>
          <t>Saturday Bronze Cap</t>
        </is>
      </c>
      <c r="C77" s="5" t="inlineStr"/>
      <c r="D77" s="5" t="inlineStr"/>
      <c r="E77" s="6" t="n">
        <v>0</v>
      </c>
      <c r="F77" s="9" t="n">
        <v>0</v>
      </c>
      <c r="G77" s="5" t="inlineStr"/>
      <c r="H77" s="5" t="inlineStr"/>
      <c r="I77" s="5" t="inlineStr"/>
      <c r="J77" s="6" t="n">
        <v>0</v>
      </c>
      <c r="K77" s="5" t="inlineStr"/>
      <c r="L77" s="5" t="inlineStr">
        <is>
          <t>40-69</t>
        </is>
      </c>
      <c r="M77" s="6" t="n">
        <v>128</v>
      </c>
      <c r="N77" s="6" t="n">
        <v>0</v>
      </c>
      <c r="O77" s="6" t="n">
        <v>0</v>
      </c>
      <c r="P77" s="5" t="inlineStr">
        <is>
          <t>yes</t>
        </is>
      </c>
      <c r="Q77" s="5" t="inlineStr">
        <is>
          <t>—</t>
        </is>
      </c>
    </row>
    <row r="78">
      <c r="A78" s="13" t="inlineStr">
        <is>
          <t>Bronze</t>
        </is>
      </c>
      <c r="B78" s="5" t="inlineStr">
        <is>
          <t>(series "bronzesequel")</t>
        </is>
      </c>
      <c r="C78" s="5" t="inlineStr"/>
      <c r="D78" s="5" t="inlineStr">
        <is>
          <t>bronzesequel</t>
        </is>
      </c>
      <c r="E78" s="6" t="n">
        <v>1</v>
      </c>
      <c r="F78" s="8" t="n">
        <v>1</v>
      </c>
      <c r="G78" s="6" t="n">
        <v>156</v>
      </c>
      <c r="H78" s="5" t="inlineStr"/>
      <c r="I78" s="5" t="inlineStr"/>
      <c r="J78" s="6" t="n">
        <v>0</v>
      </c>
      <c r="K78" s="5" t="inlineStr"/>
      <c r="L78" s="5" t="inlineStr"/>
      <c r="M78" s="5" t="inlineStr"/>
      <c r="N78" s="6" t="n">
        <v>0</v>
      </c>
      <c r="O78" s="6" t="n">
        <v>0</v>
      </c>
      <c r="P78" s="10" t="inlineStr">
        <is>
          <t>series not linked to a catalog tournament</t>
        </is>
      </c>
      <c r="Q78" s="5" t="inlineStr">
        <is>
          <t>—</t>
        </is>
      </c>
    </row>
    <row r="79">
      <c r="A79" s="13" t="inlineStr">
        <is>
          <t>Bronze</t>
        </is>
      </c>
      <c r="B79" s="5" t="inlineStr">
        <is>
          <t>Daily Bronze The Sequel</t>
        </is>
      </c>
      <c r="C79" s="5" t="inlineStr">
        <is>
          <t>164</t>
        </is>
      </c>
      <c r="D79" s="5" t="inlineStr"/>
      <c r="E79" s="6" t="n">
        <v>0</v>
      </c>
      <c r="F79" s="9" t="n">
        <v>0</v>
      </c>
      <c r="G79" s="5" t="inlineStr"/>
      <c r="H79" s="5" t="inlineStr"/>
      <c r="I79" s="5" t="inlineStr"/>
      <c r="J79" s="6" t="n">
        <v>0</v>
      </c>
      <c r="K79" s="5" t="inlineStr"/>
      <c r="L79" s="5" t="inlineStr"/>
      <c r="M79" s="6" t="n">
        <v>128</v>
      </c>
      <c r="N79" s="6" t="n">
        <v>10</v>
      </c>
      <c r="O79" s="6" t="n">
        <v>48</v>
      </c>
      <c r="P79" s="10" t="inlineStr">
        <is>
          <t>retired — slot 164 is now "Daily Bronze 1910-59"</t>
        </is>
      </c>
      <c r="Q79" s="5" t="inlineStr">
        <is>
          <t>—</t>
        </is>
      </c>
    </row>
    <row r="80">
      <c r="A80" s="14" t="inlineStr">
        <is>
          <t>Iron</t>
        </is>
      </c>
      <c r="B80" s="5" t="inlineStr">
        <is>
          <t>Daily Dank Iron</t>
        </is>
      </c>
      <c r="C80" s="5" t="inlineStr"/>
      <c r="D80" s="5" t="inlineStr">
        <is>
          <t>dankdaily</t>
        </is>
      </c>
      <c r="E80" s="6" t="n">
        <v>0</v>
      </c>
      <c r="F80" s="9" t="n">
        <v>0</v>
      </c>
      <c r="G80" s="5" t="inlineStr"/>
      <c r="H80" s="5" t="inlineStr"/>
      <c r="I80" s="5" t="inlineStr"/>
      <c r="J80" s="6" t="n">
        <v>0</v>
      </c>
      <c r="K80" s="5" t="inlineStr"/>
      <c r="L80" s="5" t="inlineStr">
        <is>
          <t>40-49</t>
        </is>
      </c>
      <c r="M80" s="6" t="n">
        <v>64</v>
      </c>
      <c r="N80" s="6" t="n">
        <v>0</v>
      </c>
      <c r="O80" s="6" t="n">
        <v>0</v>
      </c>
      <c r="P80" s="5" t="inlineStr">
        <is>
          <t>yes</t>
        </is>
      </c>
      <c r="Q80" s="5" t="inlineStr">
        <is>
          <t>—</t>
        </is>
      </c>
    </row>
    <row r="81">
      <c r="A81" s="14" t="inlineStr">
        <is>
          <t>Iron</t>
        </is>
      </c>
      <c r="B81" s="5" t="inlineStr">
        <is>
          <t>Daily Iron &amp; Friends OOTP Era Slots</t>
        </is>
      </c>
      <c r="C81" s="5" t="inlineStr"/>
      <c r="D81" s="5" t="inlineStr">
        <is>
          <t>ironandfriends</t>
        </is>
      </c>
      <c r="E81" s="6" t="n">
        <v>0</v>
      </c>
      <c r="F81" s="9" t="n">
        <v>0</v>
      </c>
      <c r="G81" s="5" t="inlineStr"/>
      <c r="H81" s="5" t="inlineStr"/>
      <c r="I81" s="5" t="inlineStr"/>
      <c r="J81" s="6" t="n">
        <v>0</v>
      </c>
      <c r="K81" s="5" t="inlineStr"/>
      <c r="L81" s="5" t="inlineStr"/>
      <c r="M81" s="5" t="inlineStr"/>
      <c r="N81" s="6" t="n">
        <v>0</v>
      </c>
      <c r="O81" s="6" t="n">
        <v>0</v>
      </c>
      <c r="P81" s="5" t="inlineStr">
        <is>
          <t>yes</t>
        </is>
      </c>
      <c r="Q81" s="5" t="inlineStr">
        <is>
          <t>—</t>
        </is>
      </c>
    </row>
    <row r="82">
      <c r="A82" s="14" t="inlineStr">
        <is>
          <t>Iron</t>
        </is>
      </c>
      <c r="B82" s="5" t="inlineStr">
        <is>
          <t>Daily Iron Cap</t>
        </is>
      </c>
      <c r="C82" s="5" t="inlineStr"/>
      <c r="D82" s="5" t="inlineStr">
        <is>
          <t>ironcapdaily</t>
        </is>
      </c>
      <c r="E82" s="6" t="n">
        <v>0</v>
      </c>
      <c r="F82" s="9" t="n">
        <v>0</v>
      </c>
      <c r="G82" s="5" t="inlineStr"/>
      <c r="H82" s="5" t="inlineStr"/>
      <c r="I82" s="5" t="inlineStr"/>
      <c r="J82" s="6" t="n">
        <v>0</v>
      </c>
      <c r="K82" s="5" t="inlineStr"/>
      <c r="L82" s="5" t="inlineStr">
        <is>
          <t>40-59</t>
        </is>
      </c>
      <c r="M82" s="6" t="n">
        <v>32</v>
      </c>
      <c r="N82" s="6" t="n">
        <v>0</v>
      </c>
      <c r="O82" s="6" t="n">
        <v>0</v>
      </c>
      <c r="P82" s="5" t="inlineStr">
        <is>
          <t>yes</t>
        </is>
      </c>
      <c r="Q82" s="5" t="inlineStr">
        <is>
          <t>—</t>
        </is>
      </c>
    </row>
    <row r="83">
      <c r="A83" s="14" t="inlineStr">
        <is>
          <t>Iron</t>
        </is>
      </c>
      <c r="B83" s="5" t="inlineStr">
        <is>
          <t>Daily Iron Dreamland</t>
        </is>
      </c>
      <c r="C83" s="5" t="inlineStr"/>
      <c r="D83" s="5" t="inlineStr">
        <is>
          <t>irondreamland</t>
        </is>
      </c>
      <c r="E83" s="6" t="n">
        <v>0</v>
      </c>
      <c r="F83" s="9" t="n">
        <v>0</v>
      </c>
      <c r="G83" s="5" t="inlineStr"/>
      <c r="H83" s="5" t="inlineStr"/>
      <c r="I83" s="5" t="inlineStr"/>
      <c r="J83" s="6" t="n">
        <v>0</v>
      </c>
      <c r="K83" s="5" t="inlineStr"/>
      <c r="L83" s="5" t="inlineStr">
        <is>
          <t>40-59</t>
        </is>
      </c>
      <c r="M83" s="5" t="inlineStr"/>
      <c r="N83" s="6" t="n">
        <v>0</v>
      </c>
      <c r="O83" s="6" t="n">
        <v>0</v>
      </c>
      <c r="P83" s="5" t="inlineStr">
        <is>
          <t>yes</t>
        </is>
      </c>
      <c r="Q83" s="5" t="inlineStr">
        <is>
          <t>—</t>
        </is>
      </c>
    </row>
    <row r="84">
      <c r="A84" s="14" t="inlineStr">
        <is>
          <t>Iron</t>
        </is>
      </c>
      <c r="B84" s="5" t="inlineStr">
        <is>
          <t>Daily Iron Lunch</t>
        </is>
      </c>
      <c r="C84" s="5" t="inlineStr"/>
      <c r="D84" s="5" t="inlineStr">
        <is>
          <t>ironlunch</t>
        </is>
      </c>
      <c r="E84" s="6" t="n">
        <v>0</v>
      </c>
      <c r="F84" s="9" t="n">
        <v>0</v>
      </c>
      <c r="G84" s="5" t="inlineStr"/>
      <c r="H84" s="5" t="inlineStr"/>
      <c r="I84" s="5" t="inlineStr"/>
      <c r="J84" s="6" t="n">
        <v>0</v>
      </c>
      <c r="K84" s="5" t="inlineStr"/>
      <c r="L84" s="5" t="inlineStr">
        <is>
          <t>40-59</t>
        </is>
      </c>
      <c r="M84" s="5" t="inlineStr"/>
      <c r="N84" s="6" t="n">
        <v>0</v>
      </c>
      <c r="O84" s="6" t="n">
        <v>0</v>
      </c>
      <c r="P84" s="5" t="inlineStr">
        <is>
          <t>yes</t>
        </is>
      </c>
      <c r="Q84" s="5" t="inlineStr">
        <is>
          <t>—</t>
        </is>
      </c>
    </row>
    <row r="85">
      <c r="A85" s="14" t="inlineStr">
        <is>
          <t>Iron</t>
        </is>
      </c>
      <c r="B85" s="5" t="inlineStr">
        <is>
          <t>Daily Iron Strikes Back</t>
        </is>
      </c>
      <c r="C85" s="5" t="inlineStr"/>
      <c r="D85" s="5" t="inlineStr">
        <is>
          <t>ironstrikesback</t>
        </is>
      </c>
      <c r="E85" s="6" t="n">
        <v>0</v>
      </c>
      <c r="F85" s="9" t="n">
        <v>0</v>
      </c>
      <c r="G85" s="5" t="inlineStr"/>
      <c r="H85" s="5" t="inlineStr"/>
      <c r="I85" s="5" t="inlineStr"/>
      <c r="J85" s="6" t="n">
        <v>0</v>
      </c>
      <c r="K85" s="5" t="inlineStr"/>
      <c r="L85" s="5" t="inlineStr">
        <is>
          <t>40-59</t>
        </is>
      </c>
      <c r="M85" s="6" t="n">
        <v>64</v>
      </c>
      <c r="N85" s="6" t="n">
        <v>0</v>
      </c>
      <c r="O85" s="6" t="n">
        <v>0</v>
      </c>
      <c r="P85" s="5" t="inlineStr">
        <is>
          <t>yes</t>
        </is>
      </c>
      <c r="Q85" s="5" t="inlineStr">
        <is>
          <t>—</t>
        </is>
      </c>
    </row>
    <row r="86">
      <c r="A86" s="14" t="inlineStr">
        <is>
          <t>Iron</t>
        </is>
      </c>
      <c r="B86" s="5" t="inlineStr">
        <is>
          <t>Daily Late Iron</t>
        </is>
      </c>
      <c r="C86" s="5" t="inlineStr"/>
      <c r="D86" s="5" t="inlineStr">
        <is>
          <t>lateiron</t>
        </is>
      </c>
      <c r="E86" s="6" t="n">
        <v>0</v>
      </c>
      <c r="F86" s="9" t="n">
        <v>0</v>
      </c>
      <c r="G86" s="5" t="inlineStr"/>
      <c r="H86" s="5" t="inlineStr"/>
      <c r="I86" s="5" t="inlineStr"/>
      <c r="J86" s="6" t="n">
        <v>0</v>
      </c>
      <c r="K86" s="5" t="inlineStr"/>
      <c r="L86" s="5" t="inlineStr">
        <is>
          <t>40-59</t>
        </is>
      </c>
      <c r="M86" s="6" t="n">
        <v>64</v>
      </c>
      <c r="N86" s="6" t="n">
        <v>0</v>
      </c>
      <c r="O86" s="6" t="n">
        <v>0</v>
      </c>
      <c r="P86" s="5" t="inlineStr">
        <is>
          <t>yes</t>
        </is>
      </c>
      <c r="Q86" s="5" t="inlineStr">
        <is>
          <t>—</t>
        </is>
      </c>
    </row>
    <row r="87">
      <c r="A87" s="14" t="inlineStr">
        <is>
          <t>Iron</t>
        </is>
      </c>
      <c r="B87" s="5" t="inlineStr">
        <is>
          <t>Daily Live Iron</t>
        </is>
      </c>
      <c r="C87" s="5" t="inlineStr"/>
      <c r="D87" s="5" t="inlineStr">
        <is>
          <t>liveirondaily</t>
        </is>
      </c>
      <c r="E87" s="6" t="n">
        <v>0</v>
      </c>
      <c r="F87" s="9" t="n">
        <v>0</v>
      </c>
      <c r="G87" s="5" t="inlineStr"/>
      <c r="H87" s="5" t="inlineStr"/>
      <c r="I87" s="5" t="inlineStr"/>
      <c r="J87" s="6" t="n">
        <v>0</v>
      </c>
      <c r="K87" s="5" t="inlineStr"/>
      <c r="L87" s="5" t="inlineStr">
        <is>
          <t>40-59</t>
        </is>
      </c>
      <c r="M87" s="5" t="inlineStr"/>
      <c r="N87" s="6" t="n">
        <v>0</v>
      </c>
      <c r="O87" s="6" t="n">
        <v>0</v>
      </c>
      <c r="P87" s="5" t="inlineStr">
        <is>
          <t>yes</t>
        </is>
      </c>
      <c r="Q87" s="5" t="inlineStr">
        <is>
          <t>—</t>
        </is>
      </c>
    </row>
    <row r="88">
      <c r="A88" s="14" t="inlineStr">
        <is>
          <t>Iron</t>
        </is>
      </c>
      <c r="B88" s="5" t="inlineStr">
        <is>
          <t>EF 4T Iron</t>
        </is>
      </c>
      <c r="C88" s="5" t="inlineStr"/>
      <c r="D88" s="5" t="inlineStr"/>
      <c r="E88" s="6" t="n">
        <v>0</v>
      </c>
      <c r="F88" s="9" t="n">
        <v>0</v>
      </c>
      <c r="G88" s="5" t="inlineStr"/>
      <c r="H88" s="5" t="inlineStr"/>
      <c r="I88" s="5" t="inlineStr"/>
      <c r="J88" s="6" t="n">
        <v>0</v>
      </c>
      <c r="K88" s="5" t="inlineStr"/>
      <c r="L88" s="5" t="inlineStr">
        <is>
          <t>40-59</t>
        </is>
      </c>
      <c r="M88" s="5" t="inlineStr"/>
      <c r="N88" s="6" t="n">
        <v>0</v>
      </c>
      <c r="O88" s="6" t="n">
        <v>0</v>
      </c>
      <c r="P88" s="5" t="inlineStr">
        <is>
          <t>yes</t>
        </is>
      </c>
      <c r="Q88" s="5" t="inlineStr">
        <is>
          <t>—</t>
        </is>
      </c>
    </row>
    <row r="89">
      <c r="A89" s="14" t="inlineStr">
        <is>
          <t>Iron</t>
        </is>
      </c>
      <c r="B89" s="5" t="inlineStr">
        <is>
          <t>EF H2H Iron</t>
        </is>
      </c>
      <c r="C89" s="5" t="inlineStr"/>
      <c r="D89" s="5" t="inlineStr"/>
      <c r="E89" s="6" t="n">
        <v>0</v>
      </c>
      <c r="F89" s="9" t="n">
        <v>0</v>
      </c>
      <c r="G89" s="5" t="inlineStr"/>
      <c r="H89" s="5" t="inlineStr"/>
      <c r="I89" s="5" t="inlineStr"/>
      <c r="J89" s="6" t="n">
        <v>0</v>
      </c>
      <c r="K89" s="5" t="inlineStr"/>
      <c r="L89" s="5" t="inlineStr">
        <is>
          <t>40-59</t>
        </is>
      </c>
      <c r="M89" s="5" t="inlineStr"/>
      <c r="N89" s="6" t="n">
        <v>0</v>
      </c>
      <c r="O89" s="6" t="n">
        <v>0</v>
      </c>
      <c r="P89" s="5" t="inlineStr">
        <is>
          <t>yes</t>
        </is>
      </c>
      <c r="Q89" s="5" t="inlineStr">
        <is>
          <t>—</t>
        </is>
      </c>
    </row>
    <row r="90">
      <c r="A90" s="14" t="inlineStr">
        <is>
          <t>Iron</t>
        </is>
      </c>
      <c r="B90" s="5" t="inlineStr">
        <is>
          <t>Friday Danksville</t>
        </is>
      </c>
      <c r="C90" s="5" t="inlineStr"/>
      <c r="D90" s="5" t="inlineStr"/>
      <c r="E90" s="6" t="n">
        <v>0</v>
      </c>
      <c r="F90" s="9" t="n">
        <v>0</v>
      </c>
      <c r="G90" s="5" t="inlineStr"/>
      <c r="H90" s="5" t="inlineStr"/>
      <c r="I90" s="5" t="inlineStr"/>
      <c r="J90" s="6" t="n">
        <v>0</v>
      </c>
      <c r="K90" s="5" t="inlineStr"/>
      <c r="L90" s="5" t="inlineStr">
        <is>
          <t>40-49</t>
        </is>
      </c>
      <c r="M90" s="6" t="n">
        <v>256</v>
      </c>
      <c r="N90" s="6" t="n">
        <v>0</v>
      </c>
      <c r="O90" s="6" t="n">
        <v>0</v>
      </c>
      <c r="P90" s="5" t="inlineStr">
        <is>
          <t>yes</t>
        </is>
      </c>
      <c r="Q90" s="5" t="inlineStr">
        <is>
          <t>—</t>
        </is>
      </c>
    </row>
    <row r="91">
      <c r="A91" s="14" t="inlineStr">
        <is>
          <t>Iron</t>
        </is>
      </c>
      <c r="B91" s="5" t="inlineStr">
        <is>
          <t>Iron Quick</t>
        </is>
      </c>
      <c r="C91" s="5" t="inlineStr"/>
      <c r="D91" s="5" t="inlineStr"/>
      <c r="E91" s="6" t="n">
        <v>0</v>
      </c>
      <c r="F91" s="9" t="n">
        <v>0</v>
      </c>
      <c r="G91" s="5" t="inlineStr"/>
      <c r="H91" s="5" t="inlineStr"/>
      <c r="I91" s="5" t="inlineStr"/>
      <c r="J91" s="6" t="n">
        <v>0</v>
      </c>
      <c r="K91" s="5" t="inlineStr"/>
      <c r="L91" s="5" t="inlineStr">
        <is>
          <t>40-59</t>
        </is>
      </c>
      <c r="M91" s="6" t="n">
        <v>16</v>
      </c>
      <c r="N91" s="6" t="n">
        <v>0</v>
      </c>
      <c r="O91" s="6" t="n">
        <v>0</v>
      </c>
      <c r="P91" s="5" t="inlineStr">
        <is>
          <t>yes</t>
        </is>
      </c>
      <c r="Q91" s="5" t="inlineStr">
        <is>
          <t>—</t>
        </is>
      </c>
    </row>
    <row r="92">
      <c r="A92" s="14" t="inlineStr">
        <is>
          <t>Iron</t>
        </is>
      </c>
      <c r="B92" s="5" t="inlineStr">
        <is>
          <t>Low Iron Quick</t>
        </is>
      </c>
      <c r="C92" s="5" t="inlineStr"/>
      <c r="D92" s="5" t="inlineStr"/>
      <c r="E92" s="6" t="n">
        <v>0</v>
      </c>
      <c r="F92" s="9" t="n">
        <v>0</v>
      </c>
      <c r="G92" s="5" t="inlineStr"/>
      <c r="H92" s="5" t="inlineStr"/>
      <c r="I92" s="5" t="inlineStr"/>
      <c r="J92" s="6" t="n">
        <v>0</v>
      </c>
      <c r="K92" s="5" t="inlineStr"/>
      <c r="L92" s="5" t="inlineStr">
        <is>
          <t>40-49</t>
        </is>
      </c>
      <c r="M92" s="5" t="inlineStr"/>
      <c r="N92" s="6" t="n">
        <v>0</v>
      </c>
      <c r="O92" s="6" t="n">
        <v>0</v>
      </c>
      <c r="P92" s="5" t="inlineStr">
        <is>
          <t>yes</t>
        </is>
      </c>
      <c r="Q92" s="5" t="inlineStr">
        <is>
          <t>—</t>
        </is>
      </c>
    </row>
    <row r="93">
      <c r="A93" s="14" t="inlineStr">
        <is>
          <t>Iron</t>
        </is>
      </c>
      <c r="B93" s="5" t="inlineStr">
        <is>
          <t>PTCS 2 Iron Replay.</t>
        </is>
      </c>
      <c r="C93" s="5" t="inlineStr"/>
      <c r="D93" s="5" t="inlineStr">
        <is>
          <t>ptcs2iron</t>
        </is>
      </c>
      <c r="E93" s="6" t="n">
        <v>0</v>
      </c>
      <c r="F93" s="9" t="n">
        <v>0</v>
      </c>
      <c r="G93" s="5" t="inlineStr"/>
      <c r="H93" s="5" t="inlineStr"/>
      <c r="I93" s="5" t="inlineStr"/>
      <c r="J93" s="6" t="n">
        <v>0</v>
      </c>
      <c r="K93" s="5" t="inlineStr"/>
      <c r="L93" s="5" t="inlineStr">
        <is>
          <t>40-59</t>
        </is>
      </c>
      <c r="M93" s="6" t="n">
        <v>64</v>
      </c>
      <c r="N93" s="6" t="n">
        <v>0</v>
      </c>
      <c r="O93" s="6" t="n">
        <v>0</v>
      </c>
      <c r="P93" s="5" t="inlineStr">
        <is>
          <t>yes</t>
        </is>
      </c>
      <c r="Q93" s="5" t="inlineStr">
        <is>
          <t>—</t>
        </is>
      </c>
    </row>
    <row r="94">
      <c r="A94" s="14" t="inlineStr">
        <is>
          <t>Iron</t>
        </is>
      </c>
      <c r="B94" s="5" t="inlineStr">
        <is>
          <t>Saturday Iron Warriors</t>
        </is>
      </c>
      <c r="C94" s="5" t="inlineStr"/>
      <c r="D94" s="5" t="inlineStr"/>
      <c r="E94" s="6" t="n">
        <v>0</v>
      </c>
      <c r="F94" s="9" t="n">
        <v>0</v>
      </c>
      <c r="G94" s="5" t="inlineStr"/>
      <c r="H94" s="5" t="inlineStr"/>
      <c r="I94" s="5" t="inlineStr"/>
      <c r="J94" s="6" t="n">
        <v>0</v>
      </c>
      <c r="K94" s="5" t="inlineStr"/>
      <c r="L94" s="5" t="inlineStr">
        <is>
          <t>40-59</t>
        </is>
      </c>
      <c r="M94" s="6" t="n">
        <v>256</v>
      </c>
      <c r="N94" s="6" t="n">
        <v>0</v>
      </c>
      <c r="O94" s="6" t="n">
        <v>0</v>
      </c>
      <c r="P94" s="5" t="inlineStr">
        <is>
          <t>yes</t>
        </is>
      </c>
      <c r="Q94" s="5" t="inlineStr">
        <is>
          <t>—</t>
        </is>
      </c>
    </row>
    <row r="95">
      <c r="A95" s="14" t="inlineStr">
        <is>
          <t>Iron</t>
        </is>
      </c>
      <c r="B95" s="5" t="inlineStr">
        <is>
          <t>PTCS 6 Championship - Iron</t>
        </is>
      </c>
      <c r="C95" s="5" t="inlineStr"/>
      <c r="D95" s="5" t="inlineStr">
        <is>
          <t>PTCS 6 Championship</t>
        </is>
      </c>
      <c r="E95" s="6" t="n">
        <v>0</v>
      </c>
      <c r="F95" s="9" t="n">
        <v>0</v>
      </c>
      <c r="G95" s="5" t="inlineStr"/>
      <c r="H95" s="5" t="inlineStr"/>
      <c r="I95" s="5" t="inlineStr"/>
      <c r="J95" s="6" t="n">
        <v>0</v>
      </c>
      <c r="K95" s="5" t="inlineStr"/>
      <c r="L95" s="5" t="inlineStr">
        <is>
          <t>40-59</t>
        </is>
      </c>
      <c r="M95" s="5" t="inlineStr"/>
      <c r="N95" s="6" t="n">
        <v>0</v>
      </c>
      <c r="O95" s="6" t="n">
        <v>0</v>
      </c>
      <c r="P95" s="10" t="inlineStr">
        <is>
          <t>duplicate listing — exports counted on "PTCS 6 Championship - Bronze"</t>
        </is>
      </c>
      <c r="Q95" s="5" t="inlineStr">
        <is>
          <t>—</t>
        </is>
      </c>
    </row>
    <row r="96">
      <c r="A96" s="15" t="inlineStr">
        <is>
          <t>Open</t>
        </is>
      </c>
      <c r="B96" s="5" t="inlineStr">
        <is>
          <t>Daily Live Open</t>
        </is>
      </c>
      <c r="C96" s="5" t="inlineStr">
        <is>
          <t>137</t>
        </is>
      </c>
      <c r="D96" s="5" t="inlineStr">
        <is>
          <t>liveopendaily</t>
        </is>
      </c>
      <c r="E96" s="6" t="n">
        <v>1</v>
      </c>
      <c r="F96" s="7" t="n">
        <v>1</v>
      </c>
      <c r="G96" s="6" t="n">
        <v>88</v>
      </c>
      <c r="H96" s="5" t="inlineStr">
        <is>
          <t>2026-06-10</t>
        </is>
      </c>
      <c r="I96" s="6" t="n">
        <v>89</v>
      </c>
      <c r="J96" s="6" t="n">
        <v>7</v>
      </c>
      <c r="K96" s="5" t="inlineStr">
        <is>
          <t>1370171, 1370172, 1370173, 1370174, 1370175, 1370176, 1370177</t>
        </is>
      </c>
      <c r="L96" s="5" t="inlineStr">
        <is>
          <t>40-100</t>
        </is>
      </c>
      <c r="M96" s="6" t="n">
        <v>128</v>
      </c>
      <c r="N96" s="6" t="n">
        <v>7</v>
      </c>
      <c r="O96" s="6" t="n">
        <v>13</v>
      </c>
      <c r="P96" s="5" t="inlineStr">
        <is>
          <t>yes</t>
        </is>
      </c>
      <c r="Q96" s="5" t="inlineStr">
        <is>
          <t>matches</t>
        </is>
      </c>
    </row>
    <row r="97">
      <c r="A97" s="15" t="inlineStr">
        <is>
          <t>Open</t>
        </is>
      </c>
      <c r="B97" s="5" t="inlineStr">
        <is>
          <t>Monday Gold Floor Cap</t>
        </is>
      </c>
      <c r="C97" s="5" t="inlineStr">
        <is>
          <t>144</t>
        </is>
      </c>
      <c r="D97" s="5" t="inlineStr">
        <is>
          <t>goldfloorcapweekly</t>
        </is>
      </c>
      <c r="E97" s="6" t="n">
        <v>1</v>
      </c>
      <c r="F97" s="7" t="n">
        <v>1</v>
      </c>
      <c r="G97" s="6" t="n">
        <v>19</v>
      </c>
      <c r="H97" s="5" t="inlineStr">
        <is>
          <t>2026-07-28</t>
        </is>
      </c>
      <c r="I97" s="6" t="n">
        <v>41</v>
      </c>
      <c r="J97" s="6" t="n">
        <v>2</v>
      </c>
      <c r="K97" s="5" t="inlineStr">
        <is>
          <t>1440024, 1440025</t>
        </is>
      </c>
      <c r="L97" s="5" t="inlineStr">
        <is>
          <t>80-105</t>
        </is>
      </c>
      <c r="M97" s="6" t="n">
        <v>128</v>
      </c>
      <c r="N97" s="6" t="n">
        <v>7</v>
      </c>
      <c r="O97" s="6" t="n">
        <v>10</v>
      </c>
      <c r="P97" s="5" t="inlineStr">
        <is>
          <t>yes</t>
        </is>
      </c>
      <c r="Q97" s="5" t="inlineStr">
        <is>
          <t>matches</t>
        </is>
      </c>
    </row>
    <row r="98">
      <c r="A98" s="15" t="inlineStr">
        <is>
          <t>Open</t>
        </is>
      </c>
      <c r="B98" s="5" t="inlineStr">
        <is>
          <t>Daily Open Slots</t>
        </is>
      </c>
      <c r="C98" s="5" t="inlineStr">
        <is>
          <t>141</t>
        </is>
      </c>
      <c r="D98" s="5" t="inlineStr">
        <is>
          <t>openslotsdaily</t>
        </is>
      </c>
      <c r="E98" s="6" t="n">
        <v>2</v>
      </c>
      <c r="F98" s="7" t="n">
        <v>2</v>
      </c>
      <c r="G98" s="6" t="n">
        <v>167</v>
      </c>
      <c r="H98" s="5" t="inlineStr">
        <is>
          <t>2026-08-28</t>
        </is>
      </c>
      <c r="I98" s="6" t="n">
        <v>10</v>
      </c>
      <c r="J98" s="6" t="n">
        <v>7</v>
      </c>
      <c r="K98" s="5" t="inlineStr">
        <is>
          <t>1410171, 1410172, 1410173, 1410174, 1410175, 1410176, 1410177</t>
        </is>
      </c>
      <c r="L98" s="5" t="inlineStr"/>
      <c r="M98" s="6" t="n">
        <v>64</v>
      </c>
      <c r="N98" s="6" t="n">
        <v>5</v>
      </c>
      <c r="O98" s="6" t="n">
        <v>1</v>
      </c>
      <c r="P98" s="5" t="inlineStr">
        <is>
          <t>yes</t>
        </is>
      </c>
      <c r="Q98" s="5" t="inlineStr">
        <is>
          <t>matches</t>
        </is>
      </c>
    </row>
    <row r="99">
      <c r="A99" s="15" t="inlineStr">
        <is>
          <t>Open</t>
        </is>
      </c>
      <c r="B99" s="5" t="inlineStr">
        <is>
          <t>Sunday Open Main Event</t>
        </is>
      </c>
      <c r="C99" s="5" t="inlineStr">
        <is>
          <t>162</t>
        </is>
      </c>
      <c r="D99" s="5" t="inlineStr">
        <is>
          <t>openweekly</t>
        </is>
      </c>
      <c r="E99" s="6" t="n">
        <v>2</v>
      </c>
      <c r="F99" s="7" t="n">
        <v>2</v>
      </c>
      <c r="G99" s="6" t="n">
        <v>23</v>
      </c>
      <c r="H99" s="5" t="inlineStr">
        <is>
          <t>2026-08-23</t>
        </is>
      </c>
      <c r="I99" s="6" t="n">
        <v>15</v>
      </c>
      <c r="J99" s="6" t="n">
        <v>2</v>
      </c>
      <c r="K99" s="5" t="inlineStr">
        <is>
          <t>1620024, 1620025</t>
        </is>
      </c>
      <c r="L99" s="5" t="inlineStr"/>
      <c r="M99" s="6" t="n">
        <v>256</v>
      </c>
      <c r="N99" s="6" t="n">
        <v>5</v>
      </c>
      <c r="O99" s="6" t="n">
        <v>12</v>
      </c>
      <c r="P99" s="5" t="inlineStr">
        <is>
          <t>yes</t>
        </is>
      </c>
      <c r="Q99" s="5" t="inlineStr">
        <is>
          <t>matches</t>
        </is>
      </c>
    </row>
    <row r="100">
      <c r="A100" s="15" t="inlineStr">
        <is>
          <t>Open</t>
        </is>
      </c>
      <c r="B100" s="5" t="inlineStr">
        <is>
          <t>Sunday Open Slots</t>
        </is>
      </c>
      <c r="C100" s="5" t="inlineStr">
        <is>
          <t>161</t>
        </is>
      </c>
      <c r="D100" s="5" t="inlineStr">
        <is>
          <t>openslotsweekly</t>
        </is>
      </c>
      <c r="E100" s="6" t="n">
        <v>2</v>
      </c>
      <c r="F100" s="7" t="n">
        <v>2</v>
      </c>
      <c r="G100" s="6" t="n">
        <v>19</v>
      </c>
      <c r="H100" s="5" t="inlineStr">
        <is>
          <t>2026-07-26</t>
        </is>
      </c>
      <c r="I100" s="6" t="n">
        <v>43</v>
      </c>
      <c r="J100" s="6" t="n">
        <v>2</v>
      </c>
      <c r="K100" s="5" t="inlineStr">
        <is>
          <t>1610024, 1610025</t>
        </is>
      </c>
      <c r="L100" s="5" t="inlineStr"/>
      <c r="M100" s="6" t="n">
        <v>128</v>
      </c>
      <c r="N100" s="6" t="n">
        <v>5</v>
      </c>
      <c r="O100" s="6" t="n">
        <v>5</v>
      </c>
      <c r="P100" s="5" t="inlineStr">
        <is>
          <t>yes</t>
        </is>
      </c>
      <c r="Q100" s="5" t="inlineStr">
        <is>
          <t>matches</t>
        </is>
      </c>
    </row>
    <row r="101">
      <c r="A101" s="15" t="inlineStr">
        <is>
          <t>Open</t>
        </is>
      </c>
      <c r="B101" s="5" t="inlineStr">
        <is>
          <t>Wednesday Night of the Living Deadball</t>
        </is>
      </c>
      <c r="C101" s="5" t="inlineStr">
        <is>
          <t>150</t>
        </is>
      </c>
      <c r="D101" s="5" t="inlineStr">
        <is>
          <t>deadballweekly</t>
        </is>
      </c>
      <c r="E101" s="6" t="n">
        <v>1</v>
      </c>
      <c r="F101" s="7" t="n">
        <v>1</v>
      </c>
      <c r="G101" s="6" t="n">
        <v>23</v>
      </c>
      <c r="H101" s="5" t="inlineStr">
        <is>
          <t>2026-08-27</t>
        </is>
      </c>
      <c r="I101" s="6" t="n">
        <v>11</v>
      </c>
      <c r="J101" s="6" t="n">
        <v>2</v>
      </c>
      <c r="K101" s="5" t="inlineStr">
        <is>
          <t>1500024, 1500025</t>
        </is>
      </c>
      <c r="L101" s="5" t="inlineStr"/>
      <c r="M101" s="6" t="n">
        <v>128</v>
      </c>
      <c r="N101" s="6" t="n">
        <v>3</v>
      </c>
      <c r="O101" s="6" t="n">
        <v>3</v>
      </c>
      <c r="P101" s="5" t="inlineStr">
        <is>
          <t>yes</t>
        </is>
      </c>
      <c r="Q101" s="5" t="inlineStr">
        <is>
          <t>matches</t>
        </is>
      </c>
    </row>
    <row r="102">
      <c r="A102" s="15" t="inlineStr">
        <is>
          <t>Open</t>
        </is>
      </c>
      <c r="B102" s="5" t="inlineStr">
        <is>
          <t>Tuesday Live</t>
        </is>
      </c>
      <c r="C102" s="5" t="inlineStr">
        <is>
          <t>146</t>
        </is>
      </c>
      <c r="D102" s="5" t="inlineStr"/>
      <c r="E102" s="6" t="n">
        <v>0</v>
      </c>
      <c r="F102" s="9" t="n">
        <v>0</v>
      </c>
      <c r="G102" s="5" t="inlineStr"/>
      <c r="H102" s="5" t="inlineStr"/>
      <c r="I102" s="5" t="inlineStr"/>
      <c r="J102" s="6" t="n">
        <v>2</v>
      </c>
      <c r="K102" s="5" t="inlineStr">
        <is>
          <t>1460024, 1460025</t>
        </is>
      </c>
      <c r="L102" s="5" t="inlineStr">
        <is>
          <t>40-100</t>
        </is>
      </c>
      <c r="M102" s="6" t="n">
        <v>256</v>
      </c>
      <c r="N102" s="6" t="n">
        <v>2</v>
      </c>
      <c r="O102" s="6" t="n">
        <v>1</v>
      </c>
      <c r="P102" s="5" t="inlineStr">
        <is>
          <t>yes</t>
        </is>
      </c>
      <c r="Q102" s="5" t="inlineStr">
        <is>
          <t>—</t>
        </is>
      </c>
    </row>
    <row r="103">
      <c r="A103" s="15" t="inlineStr">
        <is>
          <t>Open</t>
        </is>
      </c>
      <c r="B103" s="5" t="inlineStr">
        <is>
          <t>Friday Night Live Slots</t>
        </is>
      </c>
      <c r="C103" s="5" t="inlineStr">
        <is>
          <t>156</t>
        </is>
      </c>
      <c r="D103" s="5" t="inlineStr"/>
      <c r="E103" s="6" t="n">
        <v>0</v>
      </c>
      <c r="F103" s="9" t="n">
        <v>0</v>
      </c>
      <c r="G103" s="5" t="inlineStr"/>
      <c r="H103" s="5" t="inlineStr"/>
      <c r="I103" s="5" t="inlineStr"/>
      <c r="J103" s="6" t="n">
        <v>0</v>
      </c>
      <c r="K103" s="5" t="inlineStr"/>
      <c r="L103" s="5" t="inlineStr">
        <is>
          <t>40-105</t>
        </is>
      </c>
      <c r="M103" s="6" t="n">
        <v>128</v>
      </c>
      <c r="N103" s="6" t="n">
        <v>1</v>
      </c>
      <c r="O103" s="6" t="n">
        <v>0</v>
      </c>
      <c r="P103" s="5" t="inlineStr">
        <is>
          <t>yes</t>
        </is>
      </c>
      <c r="Q103" s="5" t="inlineStr">
        <is>
          <t>—</t>
        </is>
      </c>
    </row>
    <row r="104">
      <c r="A104" s="15" t="inlineStr">
        <is>
          <t>Open</t>
        </is>
      </c>
      <c r="B104" s="5" t="inlineStr">
        <is>
          <t>Daily Open 1930-89</t>
        </is>
      </c>
      <c r="C104" s="5" t="inlineStr"/>
      <c r="D104" s="5" t="inlineStr"/>
      <c r="E104" s="6" t="n">
        <v>0</v>
      </c>
      <c r="F104" s="9" t="n">
        <v>0</v>
      </c>
      <c r="G104" s="5" t="inlineStr"/>
      <c r="H104" s="5" t="inlineStr"/>
      <c r="I104" s="5" t="inlineStr"/>
      <c r="J104" s="6" t="n">
        <v>0</v>
      </c>
      <c r="K104" s="5" t="inlineStr"/>
      <c r="L104" s="5" t="inlineStr">
        <is>
          <t>40-105</t>
        </is>
      </c>
      <c r="M104" s="6" t="n">
        <v>64</v>
      </c>
      <c r="N104" s="6" t="n">
        <v>0</v>
      </c>
      <c r="O104" s="6" t="n">
        <v>0</v>
      </c>
      <c r="P104" s="5" t="inlineStr">
        <is>
          <t>yes</t>
        </is>
      </c>
      <c r="Q104" s="5" t="inlineStr">
        <is>
          <t>—</t>
        </is>
      </c>
    </row>
    <row r="105">
      <c r="A105" s="15" t="inlineStr">
        <is>
          <t>Open</t>
        </is>
      </c>
      <c r="B105" s="5" t="inlineStr">
        <is>
          <t>Daily PTCS 4 Cap Replay</t>
        </is>
      </c>
      <c r="C105" s="5" t="inlineStr"/>
      <c r="D105" s="5" t="inlineStr">
        <is>
          <t>ptcs4cap</t>
        </is>
      </c>
      <c r="E105" s="6" t="n">
        <v>0</v>
      </c>
      <c r="F105" s="9" t="n">
        <v>0</v>
      </c>
      <c r="G105" s="5" t="inlineStr"/>
      <c r="H105" s="5" t="inlineStr"/>
      <c r="I105" s="5" t="inlineStr"/>
      <c r="J105" s="6" t="n">
        <v>0</v>
      </c>
      <c r="K105" s="5" t="inlineStr"/>
      <c r="L105" s="5" t="inlineStr">
        <is>
          <t>40-105</t>
        </is>
      </c>
      <c r="M105" s="6" t="n">
        <v>32</v>
      </c>
      <c r="N105" s="6" t="n">
        <v>0</v>
      </c>
      <c r="O105" s="6" t="n">
        <v>0</v>
      </c>
      <c r="P105" s="5" t="inlineStr">
        <is>
          <t>yes</t>
        </is>
      </c>
      <c r="Q105" s="5" t="inlineStr">
        <is>
          <t>—</t>
        </is>
      </c>
    </row>
    <row r="106">
      <c r="A106" s="15" t="inlineStr">
        <is>
          <t>Open</t>
        </is>
      </c>
      <c r="B106" s="5" t="inlineStr">
        <is>
          <t>Daily Wide Open</t>
        </is>
      </c>
      <c r="C106" s="5" t="inlineStr"/>
      <c r="D106" s="5" t="inlineStr"/>
      <c r="E106" s="6" t="n">
        <v>0</v>
      </c>
      <c r="F106" s="9" t="n">
        <v>0</v>
      </c>
      <c r="G106" s="5" t="inlineStr"/>
      <c r="H106" s="5" t="inlineStr"/>
      <c r="I106" s="5" t="inlineStr"/>
      <c r="J106" s="6" t="n">
        <v>0</v>
      </c>
      <c r="K106" s="5" t="inlineStr"/>
      <c r="L106" s="5" t="inlineStr">
        <is>
          <t>40-105</t>
        </is>
      </c>
      <c r="M106" s="6" t="n">
        <v>64</v>
      </c>
      <c r="N106" s="6" t="n">
        <v>0</v>
      </c>
      <c r="O106" s="6" t="n">
        <v>0</v>
      </c>
      <c r="P106" s="5" t="inlineStr">
        <is>
          <t>yes</t>
        </is>
      </c>
      <c r="Q106" s="5" t="inlineStr">
        <is>
          <t>—</t>
        </is>
      </c>
    </row>
    <row r="107">
      <c r="A107" s="15" t="inlineStr">
        <is>
          <t>Open</t>
        </is>
      </c>
      <c r="B107" s="5" t="inlineStr">
        <is>
          <t>EF 4T Open</t>
        </is>
      </c>
      <c r="C107" s="5" t="inlineStr"/>
      <c r="D107" s="5" t="inlineStr"/>
      <c r="E107" s="6" t="n">
        <v>0</v>
      </c>
      <c r="F107" s="9" t="n">
        <v>0</v>
      </c>
      <c r="G107" s="5" t="inlineStr"/>
      <c r="H107" s="5" t="inlineStr"/>
      <c r="I107" s="5" t="inlineStr"/>
      <c r="J107" s="6" t="n">
        <v>0</v>
      </c>
      <c r="K107" s="5" t="inlineStr"/>
      <c r="L107" s="5" t="inlineStr"/>
      <c r="M107" s="5" t="inlineStr"/>
      <c r="N107" s="6" t="n">
        <v>0</v>
      </c>
      <c r="O107" s="6" t="n">
        <v>0</v>
      </c>
      <c r="P107" s="5" t="inlineStr">
        <is>
          <t>yes</t>
        </is>
      </c>
      <c r="Q107" s="5" t="inlineStr">
        <is>
          <t>—</t>
        </is>
      </c>
    </row>
    <row r="108">
      <c r="A108" s="15" t="inlineStr">
        <is>
          <t>Open</t>
        </is>
      </c>
      <c r="B108" s="5" t="inlineStr">
        <is>
          <t>EF H2H Open</t>
        </is>
      </c>
      <c r="C108" s="5" t="inlineStr"/>
      <c r="D108" s="5" t="inlineStr"/>
      <c r="E108" s="6" t="n">
        <v>0</v>
      </c>
      <c r="F108" s="9" t="n">
        <v>0</v>
      </c>
      <c r="G108" s="5" t="inlineStr"/>
      <c r="H108" s="5" t="inlineStr"/>
      <c r="I108" s="5" t="inlineStr"/>
      <c r="J108" s="6" t="n">
        <v>0</v>
      </c>
      <c r="K108" s="5" t="inlineStr"/>
      <c r="L108" s="5" t="inlineStr"/>
      <c r="M108" s="5" t="inlineStr"/>
      <c r="N108" s="6" t="n">
        <v>0</v>
      </c>
      <c r="O108" s="6" t="n">
        <v>0</v>
      </c>
      <c r="P108" s="5" t="inlineStr">
        <is>
          <t>yes</t>
        </is>
      </c>
      <c r="Q108" s="5" t="inlineStr">
        <is>
          <t>—</t>
        </is>
      </c>
    </row>
    <row r="109">
      <c r="A109" s="15" t="inlineStr">
        <is>
          <t>Open</t>
        </is>
      </c>
      <c r="B109" s="5" t="inlineStr">
        <is>
          <t>Live Quick</t>
        </is>
      </c>
      <c r="C109" s="5" t="inlineStr"/>
      <c r="D109" s="5" t="inlineStr"/>
      <c r="E109" s="6" t="n">
        <v>0</v>
      </c>
      <c r="F109" s="9" t="n">
        <v>0</v>
      </c>
      <c r="G109" s="5" t="inlineStr"/>
      <c r="H109" s="5" t="inlineStr"/>
      <c r="I109" s="5" t="inlineStr"/>
      <c r="J109" s="6" t="n">
        <v>0</v>
      </c>
      <c r="K109" s="5" t="inlineStr"/>
      <c r="L109" s="5" t="inlineStr">
        <is>
          <t>40-100</t>
        </is>
      </c>
      <c r="M109" s="6" t="n">
        <v>16</v>
      </c>
      <c r="N109" s="6" t="n">
        <v>0</v>
      </c>
      <c r="O109" s="6" t="n">
        <v>0</v>
      </c>
      <c r="P109" s="5" t="inlineStr">
        <is>
          <t>yes</t>
        </is>
      </c>
      <c r="Q109" s="5" t="inlineStr">
        <is>
          <t>—</t>
        </is>
      </c>
    </row>
    <row r="110">
      <c r="A110" s="15" t="inlineStr">
        <is>
          <t>Open</t>
        </is>
      </c>
      <c r="B110" s="5" t="inlineStr">
        <is>
          <t>Open Quick</t>
        </is>
      </c>
      <c r="C110" s="5" t="inlineStr"/>
      <c r="D110" s="5" t="inlineStr"/>
      <c r="E110" s="6" t="n">
        <v>0</v>
      </c>
      <c r="F110" s="9" t="n">
        <v>0</v>
      </c>
      <c r="G110" s="5" t="inlineStr"/>
      <c r="H110" s="5" t="inlineStr"/>
      <c r="I110" s="5" t="inlineStr"/>
      <c r="J110" s="6" t="n">
        <v>0</v>
      </c>
      <c r="K110" s="5" t="inlineStr"/>
      <c r="L110" s="5" t="inlineStr"/>
      <c r="M110" s="5" t="inlineStr"/>
      <c r="N110" s="6" t="n">
        <v>0</v>
      </c>
      <c r="O110" s="6" t="n">
        <v>0</v>
      </c>
      <c r="P110" s="5" t="inlineStr">
        <is>
          <t>yes</t>
        </is>
      </c>
      <c r="Q110" s="5" t="inlineStr">
        <is>
          <t>—</t>
        </is>
      </c>
    </row>
    <row r="111">
      <c r="A111" s="15" t="inlineStr">
        <is>
          <t>Open</t>
        </is>
      </c>
      <c r="B111" s="5" t="inlineStr">
        <is>
          <t>Open Slot Quick</t>
        </is>
      </c>
      <c r="C111" s="5" t="inlineStr"/>
      <c r="D111" s="5" t="inlineStr"/>
      <c r="E111" s="6" t="n">
        <v>0</v>
      </c>
      <c r="F111" s="9" t="n">
        <v>0</v>
      </c>
      <c r="G111" s="5" t="inlineStr"/>
      <c r="H111" s="5" t="inlineStr"/>
      <c r="I111" s="5" t="inlineStr"/>
      <c r="J111" s="6" t="n">
        <v>0</v>
      </c>
      <c r="K111" s="5" t="inlineStr"/>
      <c r="L111" s="5" t="inlineStr"/>
      <c r="M111" s="5" t="inlineStr"/>
      <c r="N111" s="6" t="n">
        <v>0</v>
      </c>
      <c r="O111" s="6" t="n">
        <v>0</v>
      </c>
      <c r="P111" s="5" t="inlineStr">
        <is>
          <t>yes</t>
        </is>
      </c>
      <c r="Q111" s="5" t="inlineStr">
        <is>
          <t>—</t>
        </is>
      </c>
    </row>
    <row r="112">
      <c r="A112" s="15" t="inlineStr">
        <is>
          <t>Open</t>
        </is>
      </c>
      <c r="B112" s="5" t="inlineStr">
        <is>
          <t>PTCS 6 Championship - Open</t>
        </is>
      </c>
      <c r="C112" s="5" t="inlineStr"/>
      <c r="D112" s="5" t="inlineStr">
        <is>
          <t>PTCS 6 Championship</t>
        </is>
      </c>
      <c r="E112" s="6" t="n">
        <v>0</v>
      </c>
      <c r="F112" s="9" t="n">
        <v>0</v>
      </c>
      <c r="G112" s="5" t="inlineStr"/>
      <c r="H112" s="5" t="inlineStr"/>
      <c r="I112" s="5" t="inlineStr"/>
      <c r="J112" s="6" t="n">
        <v>0</v>
      </c>
      <c r="K112" s="5" t="inlineStr"/>
      <c r="L112" s="5" t="inlineStr"/>
      <c r="M112" s="5" t="inlineStr"/>
      <c r="N112" s="6" t="n">
        <v>0</v>
      </c>
      <c r="O112" s="6" t="n">
        <v>0</v>
      </c>
      <c r="P112" s="10" t="inlineStr">
        <is>
          <t>duplicate listing — exports counted on "PTCS 6 Championship - Bronze"</t>
        </is>
      </c>
      <c r="Q112" s="5" t="inlineStr">
        <is>
          <t>—</t>
        </is>
      </c>
    </row>
    <row r="113">
      <c r="A113" s="16" t="inlineStr">
        <is>
          <t>Live</t>
        </is>
      </c>
      <c r="B113" s="5" t="inlineStr">
        <is>
          <t>Live Slot Quick</t>
        </is>
      </c>
      <c r="C113" s="5" t="inlineStr"/>
      <c r="D113" s="5" t="inlineStr"/>
      <c r="E113" s="6" t="n">
        <v>0</v>
      </c>
      <c r="F113" s="9" t="n">
        <v>0</v>
      </c>
      <c r="G113" s="5" t="inlineStr"/>
      <c r="H113" s="5" t="inlineStr"/>
      <c r="I113" s="5" t="inlineStr"/>
      <c r="J113" s="6" t="n">
        <v>0</v>
      </c>
      <c r="K113" s="5" t="inlineStr"/>
      <c r="L113" s="5" t="inlineStr"/>
      <c r="M113" s="5" t="inlineStr"/>
      <c r="N113" s="6" t="n">
        <v>0</v>
      </c>
      <c r="O113" s="6" t="n">
        <v>0</v>
      </c>
      <c r="P113" s="5" t="inlineStr">
        <is>
          <t>yes</t>
        </is>
      </c>
      <c r="Q113" s="5" t="inlineStr">
        <is>
          <t>—</t>
        </is>
      </c>
    </row>
    <row r="114">
      <c r="A114" s="17" t="inlineStr">
        <is>
          <t>Cap</t>
        </is>
      </c>
      <c r="B114" s="5" t="inlineStr">
        <is>
          <t>Thursday CWhit's Cap Challenge 4</t>
        </is>
      </c>
      <c r="C114" s="5" t="inlineStr">
        <is>
          <t>187</t>
        </is>
      </c>
      <c r="D114" s="5" t="inlineStr">
        <is>
          <t>c4q4</t>
        </is>
      </c>
      <c r="E114" s="6" t="n">
        <v>1</v>
      </c>
      <c r="F114" s="7" t="n">
        <v>1</v>
      </c>
      <c r="G114" s="6" t="n">
        <v>16</v>
      </c>
      <c r="H114" s="5" t="inlineStr">
        <is>
          <t>2026-08-27</t>
        </is>
      </c>
      <c r="I114" s="6" t="n">
        <v>11</v>
      </c>
      <c r="J114" s="6" t="n">
        <v>2</v>
      </c>
      <c r="K114" s="5" t="inlineStr">
        <is>
          <t>1870017, 1870018</t>
        </is>
      </c>
      <c r="L114" s="5" t="inlineStr"/>
      <c r="M114" s="6" t="n">
        <v>128</v>
      </c>
      <c r="N114" s="6" t="n">
        <v>3</v>
      </c>
      <c r="O114" s="6" t="n">
        <v>11</v>
      </c>
      <c r="P114" s="5" t="inlineStr">
        <is>
          <t>yes</t>
        </is>
      </c>
      <c r="Q114" s="5" t="inlineStr">
        <is>
          <t>matches</t>
        </is>
      </c>
    </row>
    <row r="115">
      <c r="A115" s="17" t="inlineStr">
        <is>
          <t>Cap</t>
        </is>
      </c>
      <c r="B115" s="5" t="inlineStr">
        <is>
          <t>Daily Open High Cap</t>
        </is>
      </c>
      <c r="C115" s="5" t="inlineStr">
        <is>
          <t>139</t>
        </is>
      </c>
      <c r="D115" s="5" t="inlineStr"/>
      <c r="E115" s="6" t="n">
        <v>0</v>
      </c>
      <c r="F115" s="9" t="n">
        <v>0</v>
      </c>
      <c r="G115" s="5" t="inlineStr"/>
      <c r="H115" s="5" t="inlineStr"/>
      <c r="I115" s="5" t="inlineStr"/>
      <c r="J115" s="6" t="n">
        <v>7</v>
      </c>
      <c r="K115" s="5" t="inlineStr">
        <is>
          <t>1390171, 1390172, 1390173, 1390174, 1390175, 1390176, 1390177</t>
        </is>
      </c>
      <c r="L115" s="5" t="inlineStr"/>
      <c r="M115" s="6" t="n">
        <v>32</v>
      </c>
      <c r="N115" s="6" t="n">
        <v>2</v>
      </c>
      <c r="O115" s="6" t="n">
        <v>4</v>
      </c>
      <c r="P115" s="5" t="inlineStr">
        <is>
          <t>yes</t>
        </is>
      </c>
      <c r="Q115" s="5" t="inlineStr">
        <is>
          <t>—</t>
        </is>
      </c>
    </row>
    <row r="116">
      <c r="A116" s="17" t="inlineStr">
        <is>
          <t>Cap</t>
        </is>
      </c>
      <c r="B116" s="5" t="inlineStr">
        <is>
          <t>Daily Open Low Cap</t>
        </is>
      </c>
      <c r="C116" s="5" t="inlineStr"/>
      <c r="D116" s="5" t="inlineStr"/>
      <c r="E116" s="6" t="n">
        <v>0</v>
      </c>
      <c r="F116" s="9" t="n">
        <v>0</v>
      </c>
      <c r="G116" s="5" t="inlineStr"/>
      <c r="H116" s="5" t="inlineStr"/>
      <c r="I116" s="5" t="inlineStr"/>
      <c r="J116" s="6" t="n">
        <v>0</v>
      </c>
      <c r="K116" s="5" t="inlineStr"/>
      <c r="L116" s="5" t="inlineStr"/>
      <c r="M116" s="6" t="n">
        <v>64</v>
      </c>
      <c r="N116" s="6" t="n">
        <v>0</v>
      </c>
      <c r="O116" s="6" t="n">
        <v>0</v>
      </c>
      <c r="P116" s="5" t="inlineStr">
        <is>
          <t>yes</t>
        </is>
      </c>
      <c r="Q116" s="5" t="inlineStr">
        <is>
          <t>—</t>
        </is>
      </c>
    </row>
    <row r="117">
      <c r="A117" s="17" t="inlineStr">
        <is>
          <t>Cap</t>
        </is>
      </c>
      <c r="B117" s="5" t="inlineStr">
        <is>
          <t>Thursday Mishmash Cap</t>
        </is>
      </c>
      <c r="C117" s="5" t="inlineStr"/>
      <c r="D117" s="5" t="inlineStr"/>
      <c r="E117" s="6" t="n">
        <v>0</v>
      </c>
      <c r="F117" s="9" t="n">
        <v>0</v>
      </c>
      <c r="G117" s="5" t="inlineStr"/>
      <c r="H117" s="5" t="inlineStr"/>
      <c r="I117" s="5" t="inlineStr"/>
      <c r="J117" s="6" t="n">
        <v>0</v>
      </c>
      <c r="K117" s="5" t="inlineStr"/>
      <c r="L117" s="5" t="inlineStr"/>
      <c r="M117" s="5" t="inlineStr"/>
      <c r="N117" s="6" t="n">
        <v>0</v>
      </c>
      <c r="O117" s="6" t="n">
        <v>0</v>
      </c>
      <c r="P117" s="5" t="inlineStr">
        <is>
          <t>yes</t>
        </is>
      </c>
      <c r="Q117" s="5" t="inlineStr">
        <is>
          <t>—</t>
        </is>
      </c>
    </row>
    <row r="118">
      <c r="A118" s="17" t="inlineStr">
        <is>
          <t>Cap</t>
        </is>
      </c>
      <c r="B118" s="5" t="inlineStr">
        <is>
          <t>Thursday CWhit's Cap Challenge 3</t>
        </is>
      </c>
      <c r="C118" s="5" t="inlineStr">
        <is>
          <t>187</t>
        </is>
      </c>
      <c r="D118" s="5" t="inlineStr">
        <is>
          <t>c4q4</t>
        </is>
      </c>
      <c r="E118" s="6" t="n">
        <v>0</v>
      </c>
      <c r="F118" s="9" t="n">
        <v>0</v>
      </c>
      <c r="G118" s="5" t="inlineStr"/>
      <c r="H118" s="5" t="inlineStr"/>
      <c r="I118" s="5" t="inlineStr"/>
      <c r="J118" s="6" t="n">
        <v>0</v>
      </c>
      <c r="K118" s="5" t="inlineStr"/>
      <c r="L118" s="5" t="inlineStr"/>
      <c r="M118" s="6" t="n">
        <v>128</v>
      </c>
      <c r="N118" s="6" t="n">
        <v>4</v>
      </c>
      <c r="O118" s="6" t="n">
        <v>2</v>
      </c>
      <c r="P118" s="10" t="inlineStr">
        <is>
          <t>retired — slot 187 is now "Thursday CWhit's Cap Challenge 4"</t>
        </is>
      </c>
      <c r="Q118" s="18" t="inlineStr">
        <is>
          <t>MISMATCH — file numbers are on a different counter</t>
        </is>
      </c>
    </row>
    <row r="119">
      <c r="A119" s="17" t="inlineStr">
        <is>
          <t>Cap</t>
        </is>
      </c>
      <c r="B119" s="5" t="inlineStr">
        <is>
          <t>Thursday CWhit's Cap Challenge 2</t>
        </is>
      </c>
      <c r="C119" s="5" t="inlineStr">
        <is>
          <t>187</t>
        </is>
      </c>
      <c r="D119" s="5" t="inlineStr">
        <is>
          <t>c4q4</t>
        </is>
      </c>
      <c r="E119" s="6" t="n">
        <v>0</v>
      </c>
      <c r="F119" s="9" t="n">
        <v>0</v>
      </c>
      <c r="G119" s="5" t="inlineStr"/>
      <c r="H119" s="5" t="inlineStr"/>
      <c r="I119" s="5" t="inlineStr"/>
      <c r="J119" s="6" t="n">
        <v>0</v>
      </c>
      <c r="K119" s="5" t="inlineStr"/>
      <c r="L119" s="5" t="inlineStr"/>
      <c r="M119" s="6" t="n">
        <v>128</v>
      </c>
      <c r="N119" s="6" t="n">
        <v>2</v>
      </c>
      <c r="O119" s="6" t="n">
        <v>4</v>
      </c>
      <c r="P119" s="10" t="inlineStr">
        <is>
          <t>retired — slot 187 is now "Thursday CWhit's Cap Challenge 4"</t>
        </is>
      </c>
      <c r="Q119" s="18" t="inlineStr">
        <is>
          <t>MISMATCH — file numbers are on a different counter</t>
        </is>
      </c>
    </row>
    <row r="120">
      <c r="A120" s="17" t="inlineStr">
        <is>
          <t>Cap</t>
        </is>
      </c>
      <c r="B120" s="5" t="inlineStr">
        <is>
          <t>Thursday CWhit's Cap Challenge</t>
        </is>
      </c>
      <c r="C120" s="5" t="inlineStr"/>
      <c r="D120" s="5" t="inlineStr">
        <is>
          <t>c4q4</t>
        </is>
      </c>
      <c r="E120" s="6" t="n">
        <v>0</v>
      </c>
      <c r="F120" s="9" t="n">
        <v>0</v>
      </c>
      <c r="G120" s="5" t="inlineStr"/>
      <c r="H120" s="5" t="inlineStr"/>
      <c r="I120" s="5" t="inlineStr"/>
      <c r="J120" s="6" t="n">
        <v>0</v>
      </c>
      <c r="K120" s="5" t="inlineStr"/>
      <c r="L120" s="5" t="inlineStr"/>
      <c r="M120" s="6" t="n">
        <v>128</v>
      </c>
      <c r="N120" s="6" t="n">
        <v>0</v>
      </c>
      <c r="O120" s="6" t="n">
        <v>0</v>
      </c>
      <c r="P120" s="10" t="inlineStr">
        <is>
          <t>duplicate listing — exports counted on "Thursday CWhit's Cap Challenge 4"</t>
        </is>
      </c>
      <c r="Q120" s="5" t="inlineStr">
        <is>
          <t>—</t>
        </is>
      </c>
    </row>
    <row r="121">
      <c r="A121" s="19" t="inlineStr">
        <is>
          <t>Other</t>
        </is>
      </c>
      <c r="B121" s="5" t="inlineStr">
        <is>
          <t>Tuesday Up to 1969</t>
        </is>
      </c>
      <c r="C121" s="5" t="inlineStr">
        <is>
          <t>145</t>
        </is>
      </c>
      <c r="D121" s="5" t="inlineStr">
        <is>
          <t>upto1969weekly</t>
        </is>
      </c>
      <c r="E121" s="6" t="n">
        <v>1</v>
      </c>
      <c r="F121" s="7" t="n">
        <v>1</v>
      </c>
      <c r="G121" s="6" t="n">
        <v>23</v>
      </c>
      <c r="H121" s="5" t="inlineStr">
        <is>
          <t>2026-08-25</t>
        </is>
      </c>
      <c r="I121" s="6" t="n">
        <v>13</v>
      </c>
      <c r="J121" s="6" t="n">
        <v>2</v>
      </c>
      <c r="K121" s="5" t="inlineStr">
        <is>
          <t>1450024, 1450025</t>
        </is>
      </c>
      <c r="L121" s="5" t="inlineStr"/>
      <c r="M121" s="6" t="n">
        <v>128</v>
      </c>
      <c r="N121" s="6" t="n">
        <v>2</v>
      </c>
      <c r="O121" s="6" t="n">
        <v>1</v>
      </c>
      <c r="P121" s="5" t="inlineStr">
        <is>
          <t>yes</t>
        </is>
      </c>
      <c r="Q121" s="5" t="inlineStr">
        <is>
          <t>matches</t>
        </is>
      </c>
    </row>
    <row r="122">
      <c r="A122" s="19" t="inlineStr">
        <is>
          <t>Other</t>
        </is>
      </c>
      <c r="B122" s="5" t="inlineStr">
        <is>
          <t>Wednesday 1950 to Now</t>
        </is>
      </c>
      <c r="C122" s="5" t="inlineStr">
        <is>
          <t>148</t>
        </is>
      </c>
      <c r="D122" s="5" t="inlineStr">
        <is>
          <t>1950tonow</t>
        </is>
      </c>
      <c r="E122" s="6" t="n">
        <v>2</v>
      </c>
      <c r="F122" s="7" t="n">
        <v>2</v>
      </c>
      <c r="G122" s="6" t="n">
        <v>23</v>
      </c>
      <c r="H122" s="5" t="inlineStr">
        <is>
          <t>2026-08-26</t>
        </is>
      </c>
      <c r="I122" s="6" t="n">
        <v>12</v>
      </c>
      <c r="J122" s="6" t="n">
        <v>2</v>
      </c>
      <c r="K122" s="5" t="inlineStr">
        <is>
          <t>1480024, 1480025</t>
        </is>
      </c>
      <c r="L122" s="5" t="inlineStr"/>
      <c r="M122" s="6" t="n">
        <v>128</v>
      </c>
      <c r="N122" s="6" t="n">
        <v>2</v>
      </c>
      <c r="O122" s="6" t="n">
        <v>0</v>
      </c>
      <c r="P122" s="5" t="inlineStr">
        <is>
          <t>yes</t>
        </is>
      </c>
      <c r="Q122" s="5" t="inlineStr">
        <is>
          <t>matches</t>
        </is>
      </c>
    </row>
    <row r="123">
      <c r="A123" s="19" t="inlineStr">
        <is>
          <t>Other</t>
        </is>
      </c>
      <c r="B123" s="5" t="inlineStr">
        <is>
          <t>Dr. Dynastic's Daily Time Travelers Slots</t>
        </is>
      </c>
      <c r="C123" s="5" t="inlineStr">
        <is>
          <t>193</t>
        </is>
      </c>
      <c r="D123" s="5" t="inlineStr"/>
      <c r="E123" s="6" t="n">
        <v>0</v>
      </c>
      <c r="F123" s="9" t="n">
        <v>0</v>
      </c>
      <c r="G123" s="5" t="inlineStr"/>
      <c r="H123" s="5" t="inlineStr"/>
      <c r="I123" s="5" t="inlineStr"/>
      <c r="J123" s="6" t="n">
        <v>0</v>
      </c>
      <c r="K123" s="5" t="inlineStr"/>
      <c r="L123" s="5" t="inlineStr"/>
      <c r="M123" s="6" t="n">
        <v>64</v>
      </c>
      <c r="N123" s="6" t="n">
        <v>1</v>
      </c>
      <c r="O123" s="6" t="n">
        <v>15</v>
      </c>
      <c r="P123" s="5" t="inlineStr">
        <is>
          <t>yes</t>
        </is>
      </c>
      <c r="Q123" s="5" t="inlineStr">
        <is>
          <t>—</t>
        </is>
      </c>
    </row>
    <row r="124">
      <c r="A124" s="19" t="inlineStr">
        <is>
          <t>Other</t>
        </is>
      </c>
      <c r="B124" s="5" t="inlineStr">
        <is>
          <t>Cwhit 4.2</t>
        </is>
      </c>
      <c r="C124" s="5" t="inlineStr"/>
      <c r="D124" s="5" t="inlineStr"/>
      <c r="E124" s="6" t="n">
        <v>0</v>
      </c>
      <c r="F124" s="9" t="n">
        <v>0</v>
      </c>
      <c r="G124" s="5" t="inlineStr"/>
      <c r="H124" s="5" t="inlineStr"/>
      <c r="I124" s="5" t="inlineStr"/>
      <c r="J124" s="6" t="n">
        <v>0</v>
      </c>
      <c r="K124" s="5" t="inlineStr"/>
      <c r="L124" s="5" t="inlineStr"/>
      <c r="M124" s="5" t="inlineStr"/>
      <c r="N124" s="6" t="n">
        <v>0</v>
      </c>
      <c r="O124" s="6" t="n">
        <v>0</v>
      </c>
      <c r="P124" s="5" t="inlineStr">
        <is>
          <t>yes</t>
        </is>
      </c>
      <c r="Q124" s="5" t="inlineStr">
        <is>
          <t>—</t>
        </is>
      </c>
    </row>
    <row r="125">
      <c r="A125" s="19" t="inlineStr">
        <is>
          <t>Other</t>
        </is>
      </c>
      <c r="B125" s="5" t="inlineStr">
        <is>
          <t>Cwhit4</t>
        </is>
      </c>
      <c r="C125" s="5" t="inlineStr"/>
      <c r="D125" s="5" t="inlineStr"/>
      <c r="E125" s="6" t="n">
        <v>0</v>
      </c>
      <c r="F125" s="9" t="n">
        <v>0</v>
      </c>
      <c r="G125" s="5" t="inlineStr"/>
      <c r="H125" s="5" t="inlineStr"/>
      <c r="I125" s="5" t="inlineStr"/>
      <c r="J125" s="6" t="n">
        <v>0</v>
      </c>
      <c r="K125" s="5" t="inlineStr"/>
      <c r="L125" s="5" t="inlineStr"/>
      <c r="M125" s="5" t="inlineStr"/>
      <c r="N125" s="6" t="n">
        <v>0</v>
      </c>
      <c r="O125" s="6" t="n">
        <v>0</v>
      </c>
      <c r="P125" s="5" t="inlineStr">
        <is>
          <t>yes</t>
        </is>
      </c>
      <c r="Q125" s="5" t="inlineStr">
        <is>
          <t>—</t>
        </is>
      </c>
    </row>
    <row r="126">
      <c r="A126" s="19" t="inlineStr">
        <is>
          <t>Other</t>
        </is>
      </c>
      <c r="B126" s="5" t="inlineStr">
        <is>
          <t>Daily Negro Leagues</t>
        </is>
      </c>
      <c r="C126" s="5" t="inlineStr"/>
      <c r="D126" s="5" t="inlineStr"/>
      <c r="E126" s="6" t="n">
        <v>0</v>
      </c>
      <c r="F126" s="9" t="n">
        <v>0</v>
      </c>
      <c r="G126" s="5" t="inlineStr"/>
      <c r="H126" s="5" t="inlineStr"/>
      <c r="I126" s="5" t="inlineStr"/>
      <c r="J126" s="6" t="n">
        <v>0</v>
      </c>
      <c r="K126" s="5" t="inlineStr"/>
      <c r="L126" s="5" t="inlineStr"/>
      <c r="M126" s="6" t="n">
        <v>64</v>
      </c>
      <c r="N126" s="6" t="n">
        <v>0</v>
      </c>
      <c r="O126" s="6" t="n">
        <v>0</v>
      </c>
      <c r="P126" s="5" t="inlineStr">
        <is>
          <t>yes</t>
        </is>
      </c>
      <c r="Q126" s="5" t="inlineStr">
        <is>
          <t>—</t>
        </is>
      </c>
    </row>
    <row r="127">
      <c r="A127" s="19" t="inlineStr">
        <is>
          <t>Other</t>
        </is>
      </c>
      <c r="B127" s="5" t="inlineStr">
        <is>
          <t>Daily Time Travelers Slots</t>
        </is>
      </c>
      <c r="C127" s="5" t="inlineStr"/>
      <c r="D127" s="5" t="inlineStr"/>
      <c r="E127" s="6" t="n">
        <v>0</v>
      </c>
      <c r="F127" s="9" t="n">
        <v>0</v>
      </c>
      <c r="G127" s="5" t="inlineStr"/>
      <c r="H127" s="5" t="inlineStr"/>
      <c r="I127" s="5" t="inlineStr"/>
      <c r="J127" s="6" t="n">
        <v>0</v>
      </c>
      <c r="K127" s="5" t="inlineStr"/>
      <c r="L127" s="5" t="inlineStr"/>
      <c r="M127" s="6" t="n">
        <v>64</v>
      </c>
      <c r="N127" s="6" t="n">
        <v>0</v>
      </c>
      <c r="O127" s="6" t="n">
        <v>0</v>
      </c>
      <c r="P127" s="5" t="inlineStr">
        <is>
          <t>yes</t>
        </is>
      </c>
      <c r="Q127" s="5" t="inlineStr">
        <is>
          <t>—</t>
        </is>
      </c>
    </row>
    <row r="128">
      <c r="A128" s="19" t="inlineStr">
        <is>
          <t>Other</t>
        </is>
      </c>
      <c r="B128" s="5" t="inlineStr">
        <is>
          <t>My Custom Tournament</t>
        </is>
      </c>
      <c r="C128" s="5" t="inlineStr"/>
      <c r="D128" s="5" t="inlineStr"/>
      <c r="E128" s="6" t="n">
        <v>0</v>
      </c>
      <c r="F128" s="9" t="n">
        <v>0</v>
      </c>
      <c r="G128" s="5" t="inlineStr"/>
      <c r="H128" s="5" t="inlineStr"/>
      <c r="I128" s="5" t="inlineStr"/>
      <c r="J128" s="6" t="n">
        <v>0</v>
      </c>
      <c r="K128" s="5" t="inlineStr"/>
      <c r="L128" s="5" t="inlineStr"/>
      <c r="M128" s="5" t="inlineStr"/>
      <c r="N128" s="6" t="n">
        <v>0</v>
      </c>
      <c r="O128" s="6" t="n">
        <v>0</v>
      </c>
      <c r="P128" s="5" t="inlineStr">
        <is>
          <t>yes</t>
        </is>
      </c>
      <c r="Q128" s="5" t="inlineStr">
        <is>
          <t>—</t>
        </is>
      </c>
    </row>
    <row r="129">
      <c r="A129" s="19" t="inlineStr">
        <is>
          <t>Other</t>
        </is>
      </c>
      <c r="B129" s="5" t="inlineStr">
        <is>
          <t>PTMS 2 Tourney 1</t>
        </is>
      </c>
      <c r="C129" s="5" t="inlineStr"/>
      <c r="D129" s="5" t="inlineStr"/>
      <c r="E129" s="6" t="n">
        <v>0</v>
      </c>
      <c r="F129" s="9" t="n">
        <v>0</v>
      </c>
      <c r="G129" s="5" t="inlineStr"/>
      <c r="H129" s="5" t="inlineStr"/>
      <c r="I129" s="5" t="inlineStr"/>
      <c r="J129" s="6" t="n">
        <v>0</v>
      </c>
      <c r="K129" s="5" t="inlineStr"/>
      <c r="L129" s="5" t="inlineStr"/>
      <c r="M129" s="5" t="inlineStr"/>
      <c r="N129" s="6" t="n">
        <v>0</v>
      </c>
      <c r="O129" s="6" t="n">
        <v>0</v>
      </c>
      <c r="P129" s="5" t="inlineStr">
        <is>
          <t>yes</t>
        </is>
      </c>
      <c r="Q129" s="5" t="inlineStr">
        <is>
          <t>—</t>
        </is>
      </c>
    </row>
    <row r="130">
      <c r="A130" s="19" t="inlineStr">
        <is>
          <t>Other</t>
        </is>
      </c>
      <c r="B130" s="5" t="inlineStr">
        <is>
          <t>PTMS 2 Tourney 2</t>
        </is>
      </c>
      <c r="C130" s="5" t="inlineStr"/>
      <c r="D130" s="5" t="inlineStr"/>
      <c r="E130" s="6" t="n">
        <v>0</v>
      </c>
      <c r="F130" s="9" t="n">
        <v>0</v>
      </c>
      <c r="G130" s="5" t="inlineStr"/>
      <c r="H130" s="5" t="inlineStr"/>
      <c r="I130" s="5" t="inlineStr"/>
      <c r="J130" s="6" t="n">
        <v>0</v>
      </c>
      <c r="K130" s="5" t="inlineStr"/>
      <c r="L130" s="5" t="inlineStr"/>
      <c r="M130" s="5" t="inlineStr"/>
      <c r="N130" s="6" t="n">
        <v>0</v>
      </c>
      <c r="O130" s="6" t="n">
        <v>0</v>
      </c>
      <c r="P130" s="5" t="inlineStr">
        <is>
          <t>yes</t>
        </is>
      </c>
      <c r="Q130" s="5" t="inlineStr">
        <is>
          <t>—</t>
        </is>
      </c>
    </row>
    <row r="131">
      <c r="A131" s="19" t="inlineStr">
        <is>
          <t>Other</t>
        </is>
      </c>
      <c r="B131" s="5" t="inlineStr">
        <is>
          <t>PTMS 2 Tourney 3</t>
        </is>
      </c>
      <c r="C131" s="5" t="inlineStr"/>
      <c r="D131" s="5" t="inlineStr"/>
      <c r="E131" s="6" t="n">
        <v>0</v>
      </c>
      <c r="F131" s="9" t="n">
        <v>0</v>
      </c>
      <c r="G131" s="5" t="inlineStr"/>
      <c r="H131" s="5" t="inlineStr"/>
      <c r="I131" s="5" t="inlineStr"/>
      <c r="J131" s="6" t="n">
        <v>0</v>
      </c>
      <c r="K131" s="5" t="inlineStr"/>
      <c r="L131" s="5" t="inlineStr"/>
      <c r="M131" s="5" t="inlineStr"/>
      <c r="N131" s="6" t="n">
        <v>0</v>
      </c>
      <c r="O131" s="6" t="n">
        <v>0</v>
      </c>
      <c r="P131" s="5" t="inlineStr">
        <is>
          <t>yes</t>
        </is>
      </c>
      <c r="Q131" s="5" t="inlineStr">
        <is>
          <t>—</t>
        </is>
      </c>
    </row>
    <row r="132">
      <c r="A132" s="19" t="inlineStr">
        <is>
          <t>Other</t>
        </is>
      </c>
      <c r="B132" s="5" t="inlineStr">
        <is>
          <t>Quick Dank</t>
        </is>
      </c>
      <c r="C132" s="5" t="inlineStr"/>
      <c r="D132" s="5" t="inlineStr"/>
      <c r="E132" s="6" t="n">
        <v>0</v>
      </c>
      <c r="F132" s="9" t="n">
        <v>0</v>
      </c>
      <c r="G132" s="5" t="inlineStr"/>
      <c r="H132" s="5" t="inlineStr"/>
      <c r="I132" s="5" t="inlineStr"/>
      <c r="J132" s="6" t="n">
        <v>0</v>
      </c>
      <c r="K132" s="5" t="inlineStr"/>
      <c r="L132" s="5" t="inlineStr"/>
      <c r="M132" s="5" t="inlineStr"/>
      <c r="N132" s="6" t="n">
        <v>0</v>
      </c>
      <c r="O132" s="6" t="n">
        <v>0</v>
      </c>
      <c r="P132" s="5" t="inlineStr">
        <is>
          <t>yes</t>
        </is>
      </c>
      <c r="Q132" s="5" t="inlineStr">
        <is>
          <t>—</t>
        </is>
      </c>
    </row>
    <row r="133">
      <c r="A133" s="19" t="inlineStr">
        <is>
          <t>Other</t>
        </is>
      </c>
      <c r="B133" s="5" t="inlineStr">
        <is>
          <t>Saturday Negro Leagues Slots</t>
        </is>
      </c>
      <c r="C133" s="5" t="inlineStr"/>
      <c r="D133" s="5" t="inlineStr"/>
      <c r="E133" s="6" t="n">
        <v>0</v>
      </c>
      <c r="F133" s="9" t="n">
        <v>0</v>
      </c>
      <c r="G133" s="5" t="inlineStr"/>
      <c r="H133" s="5" t="inlineStr"/>
      <c r="I133" s="5" t="inlineStr"/>
      <c r="J133" s="6" t="n">
        <v>0</v>
      </c>
      <c r="K133" s="5" t="inlineStr"/>
      <c r="L133" s="5" t="inlineStr"/>
      <c r="M133" s="6" t="n">
        <v>128</v>
      </c>
      <c r="N133" s="6" t="n">
        <v>0</v>
      </c>
      <c r="O133" s="6" t="n">
        <v>0</v>
      </c>
      <c r="P133" s="5" t="inlineStr">
        <is>
          <t>yes</t>
        </is>
      </c>
      <c r="Q133" s="5" t="inlineStr">
        <is>
          <t>—</t>
        </is>
      </c>
    </row>
    <row r="134">
      <c r="A134" s="19" t="inlineStr">
        <is>
          <t>Other</t>
        </is>
      </c>
      <c r="B134" s="5" t="inlineStr">
        <is>
          <t>(series "hittersfirst")</t>
        </is>
      </c>
      <c r="C134" s="5" t="inlineStr"/>
      <c r="D134" s="5" t="inlineStr">
        <is>
          <t>hittersfirst</t>
        </is>
      </c>
      <c r="E134" s="6" t="n">
        <v>1</v>
      </c>
      <c r="F134" s="8" t="n">
        <v>1</v>
      </c>
      <c r="G134" s="6" t="n">
        <v>97</v>
      </c>
      <c r="H134" s="5" t="inlineStr"/>
      <c r="I134" s="5" t="inlineStr"/>
      <c r="J134" s="6" t="n">
        <v>0</v>
      </c>
      <c r="K134" s="5" t="inlineStr"/>
      <c r="L134" s="5" t="inlineStr"/>
      <c r="M134" s="5" t="inlineStr"/>
      <c r="N134" s="6" t="n">
        <v>0</v>
      </c>
      <c r="O134" s="6" t="n">
        <v>0</v>
      </c>
      <c r="P134" s="10" t="inlineStr">
        <is>
          <t>series not linked to a catalog tournament</t>
        </is>
      </c>
      <c r="Q134" s="5" t="inlineStr">
        <is>
          <t>—</t>
        </is>
      </c>
    </row>
    <row r="135">
      <c r="A135" s="19" t="inlineStr">
        <is>
          <t>Other</t>
        </is>
      </c>
      <c r="B135" s="5" t="inlineStr">
        <is>
          <t>(series "rockingchairlunch")</t>
        </is>
      </c>
      <c r="C135" s="5" t="inlineStr"/>
      <c r="D135" s="5" t="inlineStr">
        <is>
          <t>rockingchairlunch</t>
        </is>
      </c>
      <c r="E135" s="6" t="n">
        <v>1</v>
      </c>
      <c r="F135" s="8" t="n">
        <v>1</v>
      </c>
      <c r="G135" s="6" t="n">
        <v>169</v>
      </c>
      <c r="H135" s="5" t="inlineStr"/>
      <c r="I135" s="5" t="inlineStr"/>
      <c r="J135" s="6" t="n">
        <v>0</v>
      </c>
      <c r="K135" s="5" t="inlineStr"/>
      <c r="L135" s="5" t="inlineStr"/>
      <c r="M135" s="5" t="inlineStr"/>
      <c r="N135" s="6" t="n">
        <v>0</v>
      </c>
      <c r="O135" s="6" t="n">
        <v>0</v>
      </c>
      <c r="P135" s="10" t="inlineStr">
        <is>
          <t>series not linked to a catalog tournament</t>
        </is>
      </c>
      <c r="Q135" s="5" t="inlineStr">
        <is>
          <t>—</t>
        </is>
      </c>
    </row>
    <row r="136">
      <c r="A136" s="19" t="inlineStr">
        <is>
          <t>Other</t>
        </is>
      </c>
      <c r="B136" s="5" t="inlineStr">
        <is>
          <t>(series "strugglingsleep")</t>
        </is>
      </c>
      <c r="C136" s="5" t="inlineStr"/>
      <c r="D136" s="5" t="inlineStr">
        <is>
          <t>strugglingsleep</t>
        </is>
      </c>
      <c r="E136" s="6" t="n">
        <v>2</v>
      </c>
      <c r="F136" s="8" t="n">
        <v>2</v>
      </c>
      <c r="G136" s="6" t="n">
        <v>170</v>
      </c>
      <c r="H136" s="5" t="inlineStr"/>
      <c r="I136" s="5" t="inlineStr"/>
      <c r="J136" s="6" t="n">
        <v>0</v>
      </c>
      <c r="K136" s="5" t="inlineStr"/>
      <c r="L136" s="5" t="inlineStr"/>
      <c r="M136" s="5" t="inlineStr"/>
      <c r="N136" s="6" t="n">
        <v>0</v>
      </c>
      <c r="O136" s="6" t="n">
        <v>0</v>
      </c>
      <c r="P136" s="10" t="inlineStr">
        <is>
          <t>series not linked to a catalog tournament</t>
        </is>
      </c>
      <c r="Q136" s="5" t="inlineStr">
        <is>
          <t>—</t>
        </is>
      </c>
    </row>
    <row r="137">
      <c r="A137" s="19" t="inlineStr">
        <is>
          <t>Other</t>
        </is>
      </c>
      <c r="B137" s="5" t="inlineStr">
        <is>
          <t>(series "sundaydownladder")</t>
        </is>
      </c>
      <c r="C137" s="5" t="inlineStr"/>
      <c r="D137" s="5" t="inlineStr">
        <is>
          <t>sundaydownladder</t>
        </is>
      </c>
      <c r="E137" s="6" t="n">
        <v>1</v>
      </c>
      <c r="F137" s="8" t="n">
        <v>1</v>
      </c>
      <c r="G137" s="6" t="n">
        <v>24</v>
      </c>
      <c r="H137" s="5" t="inlineStr"/>
      <c r="I137" s="5" t="inlineStr"/>
      <c r="J137" s="6" t="n">
        <v>0</v>
      </c>
      <c r="K137" s="5" t="inlineStr"/>
      <c r="L137" s="5" t="inlineStr"/>
      <c r="M137" s="5" t="inlineStr"/>
      <c r="N137" s="6" t="n">
        <v>0</v>
      </c>
      <c r="O137" s="6" t="n">
        <v>0</v>
      </c>
      <c r="P137" s="10" t="inlineStr">
        <is>
          <t>series not linked to a catalog tournament</t>
        </is>
      </c>
      <c r="Q137" s="5" t="inlineStr">
        <is>
          <t>—</t>
        </is>
      </c>
    </row>
    <row r="138">
      <c r="A138" s="19" t="inlineStr">
        <is>
          <t>Other</t>
        </is>
      </c>
      <c r="B138" s="5" t="inlineStr">
        <is>
          <t>Tuesday Up To 1969</t>
        </is>
      </c>
      <c r="C138" s="5" t="inlineStr"/>
      <c r="D138" s="5" t="inlineStr">
        <is>
          <t>upto1969weekly</t>
        </is>
      </c>
      <c r="E138" s="6" t="n">
        <v>0</v>
      </c>
      <c r="F138" s="9" t="n">
        <v>0</v>
      </c>
      <c r="G138" s="5" t="inlineStr"/>
      <c r="H138" s="5" t="inlineStr"/>
      <c r="I138" s="5" t="inlineStr"/>
      <c r="J138" s="6" t="n">
        <v>0</v>
      </c>
      <c r="K138" s="5" t="inlineStr"/>
      <c r="L138" s="5" t="inlineStr"/>
      <c r="M138" s="6" t="n">
        <v>128</v>
      </c>
      <c r="N138" s="6" t="n">
        <v>0</v>
      </c>
      <c r="O138" s="6" t="n">
        <v>0</v>
      </c>
      <c r="P138" s="10" t="inlineStr">
        <is>
          <t>duplicate listing — exports counted on "Tuesday Up to 1969"</t>
        </is>
      </c>
      <c r="Q138" s="5" t="inlineStr">
        <is>
          <t>—</t>
        </is>
      </c>
    </row>
  </sheetData>
  <autoFilter ref="A4:Q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7" customWidth="1" min="3" max="3"/>
    <col width="20" customWidth="1" min="4" max="4"/>
    <col width="9" customWidth="1" min="5" max="5"/>
    <col width="7" customWidth="1" min="6" max="6"/>
    <col width="9" customWidth="1" min="7" max="7"/>
    <col width="11" customWidth="1" min="8" max="8"/>
    <col width="8" customWidth="1" min="9" max="9"/>
    <col width="10" customWidth="1" min="10" max="10"/>
    <col width="44" customWidth="1" min="11" max="11"/>
    <col width="9" customWidth="1" min="12" max="12"/>
    <col width="7" customWidth="1" min="13" max="13"/>
    <col width="9" customWidth="1" min="14" max="14"/>
    <col width="8" customWidth="1" min="15" max="15"/>
    <col width="34" customWidth="1" min="16" max="16"/>
    <col width="20" customWidth="1" min="17" max="17"/>
  </cols>
  <sheetData>
    <row r="1">
      <c r="A1" s="1" t="inlineStr">
        <is>
          <t>Perfect Drafts — stat-export coverage</t>
        </is>
      </c>
    </row>
    <row r="2">
      <c r="A2" s="2" t="inlineStr">
        <is>
          <t>Same columns. PD Daily is the biggest points category and the thinnest data. Generated 2026-09-07.</t>
        </is>
      </c>
    </row>
    <row r="4" ht="30" customHeight="1">
      <c r="A4" s="3" t="inlineStr">
        <is>
          <t>Tier</t>
        </is>
      </c>
      <c r="B4" s="3" t="inlineStr">
        <is>
          <t>Tournament</t>
        </is>
      </c>
      <c r="C4" s="3" t="inlineStr">
        <is>
          <t>PT id</t>
        </is>
      </c>
      <c r="D4" s="3" t="inlineStr">
        <is>
          <t>Series (file name)</t>
        </is>
      </c>
      <c r="E4" s="3" t="inlineStr">
        <is>
          <t>Runs on file</t>
        </is>
      </c>
      <c r="F4" s="3" t="inlineStr">
        <is>
          <t>Files</t>
        </is>
      </c>
      <c r="G4" s="3" t="inlineStr">
        <is>
          <t>Latest run</t>
        </is>
      </c>
      <c r="H4" s="3" t="inlineStr">
        <is>
          <t>Latest date</t>
        </is>
      </c>
      <c r="I4" s="3" t="inlineStr">
        <is>
          <t>Days old</t>
        </is>
      </c>
      <c r="J4" s="3" t="inlineStr">
        <is>
          <t>Missing last 7d</t>
        </is>
      </c>
      <c r="K4" s="3" t="inlineStr">
        <is>
          <t>Event ids still grabbable</t>
        </is>
      </c>
      <c r="L4" s="3" t="inlineStr">
        <is>
          <t>Card cap</t>
        </is>
      </c>
      <c r="M4" s="3" t="inlineStr">
        <is>
          <t>Field</t>
        </is>
      </c>
      <c r="N4" s="3" t="inlineStr">
        <is>
          <t>My entries</t>
        </is>
      </c>
      <c r="O4" s="3" t="inlineStr">
        <is>
          <t>My pts</t>
        </is>
      </c>
      <c r="P4" s="3" t="inlineStr">
        <is>
          <t>Still running?</t>
        </is>
      </c>
      <c r="Q4" s="3" t="inlineStr">
        <is>
          <t>Run numbering</t>
        </is>
      </c>
    </row>
    <row r="5">
      <c r="A5" s="11" t="inlineStr">
        <is>
          <t>Gold</t>
        </is>
      </c>
      <c r="B5" s="5" t="inlineStr">
        <is>
          <t>Laptophound's Daily 6L Power Play</t>
        </is>
      </c>
      <c r="C5" s="5" t="inlineStr">
        <is>
          <t>218</t>
        </is>
      </c>
      <c r="D5" s="5" t="inlineStr">
        <is>
          <t>6lpowerplay</t>
        </is>
      </c>
      <c r="E5" s="6" t="n">
        <v>8</v>
      </c>
      <c r="F5" s="8" t="n">
        <v>8</v>
      </c>
      <c r="G5" s="6" t="n">
        <v>170</v>
      </c>
      <c r="H5" s="5" t="inlineStr">
        <is>
          <t>2026-08-31</t>
        </is>
      </c>
      <c r="I5" s="6" t="n">
        <v>7</v>
      </c>
      <c r="J5" s="6" t="n">
        <v>7</v>
      </c>
      <c r="K5" s="5" t="inlineStr">
        <is>
          <t>2180171, 2180172, 2180173, 2180174, 2180175, 2180176, 2180177</t>
        </is>
      </c>
      <c r="L5" s="5" t="inlineStr">
        <is>
          <t>40-89</t>
        </is>
      </c>
      <c r="M5" s="6" t="n">
        <v>128</v>
      </c>
      <c r="N5" s="6" t="n">
        <v>14</v>
      </c>
      <c r="O5" s="6" t="n">
        <v>14</v>
      </c>
      <c r="P5" s="5" t="inlineStr">
        <is>
          <t>yes</t>
        </is>
      </c>
      <c r="Q5" s="5" t="inlineStr">
        <is>
          <t>matches</t>
        </is>
      </c>
    </row>
    <row r="6">
      <c r="A6" s="12" t="inlineStr">
        <is>
          <t>Silver</t>
        </is>
      </c>
      <c r="B6" s="5" t="inlineStr">
        <is>
          <t>Laptophound's Daily 5L Deadball</t>
        </is>
      </c>
      <c r="C6" s="5" t="inlineStr">
        <is>
          <t>207</t>
        </is>
      </c>
      <c r="D6" s="5" t="inlineStr">
        <is>
          <t>5ldeadball</t>
        </is>
      </c>
      <c r="E6" s="6" t="n">
        <v>8</v>
      </c>
      <c r="F6" s="8" t="n">
        <v>8</v>
      </c>
      <c r="G6" s="6" t="n">
        <v>170</v>
      </c>
      <c r="H6" s="5" t="inlineStr">
        <is>
          <t>2026-08-31</t>
        </is>
      </c>
      <c r="I6" s="6" t="n">
        <v>7</v>
      </c>
      <c r="J6" s="6" t="n">
        <v>7</v>
      </c>
      <c r="K6" s="5" t="inlineStr">
        <is>
          <t>2070171, 2070172, 2070173, 2070174, 2070175, 2070176, 2070177</t>
        </is>
      </c>
      <c r="L6" s="5" t="inlineStr">
        <is>
          <t>40-79</t>
        </is>
      </c>
      <c r="M6" s="6" t="n">
        <v>128</v>
      </c>
      <c r="N6" s="6" t="n">
        <v>13</v>
      </c>
      <c r="O6" s="6" t="n">
        <v>30</v>
      </c>
      <c r="P6" s="5" t="inlineStr">
        <is>
          <t>yes</t>
        </is>
      </c>
      <c r="Q6" s="5" t="inlineStr">
        <is>
          <t>matches</t>
        </is>
      </c>
    </row>
    <row r="7">
      <c r="A7" s="15" t="inlineStr">
        <is>
          <t>Open</t>
        </is>
      </c>
      <c r="B7" s="5" t="inlineStr">
        <is>
          <t>Daily Bagels and Schmear with EVCinNYC</t>
        </is>
      </c>
      <c r="C7" s="5" t="inlineStr">
        <is>
          <t>206</t>
        </is>
      </c>
      <c r="D7" s="5" t="inlineStr">
        <is>
          <t>bagelsschmearevcinnyc</t>
        </is>
      </c>
      <c r="E7" s="6" t="n">
        <v>1</v>
      </c>
      <c r="F7" s="8" t="n">
        <v>1</v>
      </c>
      <c r="G7" s="6" t="n">
        <v>170</v>
      </c>
      <c r="H7" s="5" t="inlineStr">
        <is>
          <t>2026-08-31</t>
        </is>
      </c>
      <c r="I7" s="6" t="n">
        <v>7</v>
      </c>
      <c r="J7" s="6" t="n">
        <v>7</v>
      </c>
      <c r="K7" s="5" t="inlineStr">
        <is>
          <t>2060171, 2060172, 2060173, 2060174, 2060175, 2060176, 2060177</t>
        </is>
      </c>
      <c r="L7" s="5" t="inlineStr">
        <is>
          <t>40-105</t>
        </is>
      </c>
      <c r="M7" s="6" t="n">
        <v>64</v>
      </c>
      <c r="N7" s="6" t="n">
        <v>3</v>
      </c>
      <c r="O7" s="6" t="n">
        <v>0</v>
      </c>
      <c r="P7" s="5" t="inlineStr">
        <is>
          <t>yes</t>
        </is>
      </c>
      <c r="Q7" s="5" t="inlineStr">
        <is>
          <t>matches</t>
        </is>
      </c>
    </row>
    <row r="8">
      <c r="A8" s="19" t="inlineStr">
        <is>
          <t>Other</t>
        </is>
      </c>
      <c r="B8" s="5" t="inlineStr">
        <is>
          <t>Daily Trying to Look Busy - D&amp;G</t>
        </is>
      </c>
      <c r="C8" s="5" t="inlineStr">
        <is>
          <t>211</t>
        </is>
      </c>
      <c r="D8" s="5" t="inlineStr"/>
      <c r="E8" s="6" t="n">
        <v>0</v>
      </c>
      <c r="F8" s="9" t="n">
        <v>0</v>
      </c>
      <c r="G8" s="5" t="inlineStr"/>
      <c r="H8" s="5" t="inlineStr"/>
      <c r="I8" s="5" t="inlineStr"/>
      <c r="J8" s="6" t="n">
        <v>7</v>
      </c>
      <c r="K8" s="5" t="inlineStr">
        <is>
          <t>2110171, 2110172, 2110173, 2110174, 2110175, 2110176, 2110177</t>
        </is>
      </c>
      <c r="L8" s="5" t="inlineStr"/>
      <c r="M8" s="6" t="n">
        <v>64</v>
      </c>
      <c r="N8" s="6" t="n">
        <v>64</v>
      </c>
      <c r="O8" s="6" t="n">
        <v>139</v>
      </c>
      <c r="P8" s="5" t="inlineStr">
        <is>
          <t>yes</t>
        </is>
      </c>
      <c r="Q8" s="5" t="inlineStr">
        <is>
          <t>—</t>
        </is>
      </c>
    </row>
    <row r="9">
      <c r="A9" s="19" t="inlineStr">
        <is>
          <t>Other</t>
        </is>
      </c>
      <c r="B9" s="5" t="inlineStr">
        <is>
          <t>Daily Just Order Pizza for Dinner - D&amp;G</t>
        </is>
      </c>
      <c r="C9" s="5" t="inlineStr">
        <is>
          <t>217</t>
        </is>
      </c>
      <c r="D9" s="5" t="inlineStr"/>
      <c r="E9" s="6" t="n">
        <v>0</v>
      </c>
      <c r="F9" s="9" t="n">
        <v>0</v>
      </c>
      <c r="G9" s="5" t="inlineStr"/>
      <c r="H9" s="5" t="inlineStr"/>
      <c r="I9" s="5" t="inlineStr"/>
      <c r="J9" s="6" t="n">
        <v>7</v>
      </c>
      <c r="K9" s="5" t="inlineStr">
        <is>
          <t>2170172, 2170173, 2170174, 2170175, 2170176, 2170177, 2170178</t>
        </is>
      </c>
      <c r="L9" s="5" t="inlineStr"/>
      <c r="M9" s="6" t="n">
        <v>64</v>
      </c>
      <c r="N9" s="6" t="n">
        <v>58</v>
      </c>
      <c r="O9" s="6" t="n">
        <v>75</v>
      </c>
      <c r="P9" s="5" t="inlineStr">
        <is>
          <t>yes</t>
        </is>
      </c>
      <c r="Q9" s="5" t="inlineStr">
        <is>
          <t>—</t>
        </is>
      </c>
    </row>
    <row r="10">
      <c r="A10" s="16" t="inlineStr">
        <is>
          <t>Live</t>
        </is>
      </c>
      <c r="B10" s="5" t="inlineStr">
        <is>
          <t>Daily Live All Night</t>
        </is>
      </c>
      <c r="C10" s="5" t="inlineStr">
        <is>
          <t>226</t>
        </is>
      </c>
      <c r="D10" s="5" t="inlineStr"/>
      <c r="E10" s="6" t="n">
        <v>0</v>
      </c>
      <c r="F10" s="9" t="n">
        <v>0</v>
      </c>
      <c r="G10" s="5" t="inlineStr"/>
      <c r="H10" s="5" t="inlineStr"/>
      <c r="I10" s="5" t="inlineStr"/>
      <c r="J10" s="6" t="n">
        <v>7</v>
      </c>
      <c r="K10" s="5" t="inlineStr">
        <is>
          <t>2260171, 2260172, 2260173, 2260174, 2260175, 2260176, 2260177</t>
        </is>
      </c>
      <c r="L10" s="5" t="inlineStr"/>
      <c r="M10" s="6" t="n">
        <v>64</v>
      </c>
      <c r="N10" s="6" t="n">
        <v>34</v>
      </c>
      <c r="O10" s="6" t="n">
        <v>64</v>
      </c>
      <c r="P10" s="5" t="inlineStr">
        <is>
          <t>yes</t>
        </is>
      </c>
      <c r="Q10" s="5" t="inlineStr">
        <is>
          <t>—</t>
        </is>
      </c>
    </row>
    <row r="11">
      <c r="A11" s="16" t="inlineStr">
        <is>
          <t>Live</t>
        </is>
      </c>
      <c r="B11" s="5" t="inlineStr">
        <is>
          <t>Daily Don't Forget to Pick up the Kids - Live</t>
        </is>
      </c>
      <c r="C11" s="5" t="inlineStr">
        <is>
          <t>213</t>
        </is>
      </c>
      <c r="D11" s="5" t="inlineStr"/>
      <c r="E11" s="6" t="n">
        <v>0</v>
      </c>
      <c r="F11" s="9" t="n">
        <v>0</v>
      </c>
      <c r="G11" s="5" t="inlineStr"/>
      <c r="H11" s="5" t="inlineStr"/>
      <c r="I11" s="5" t="inlineStr"/>
      <c r="J11" s="6" t="n">
        <v>7</v>
      </c>
      <c r="K11" s="5" t="inlineStr">
        <is>
          <t>2130171, 2130172, 2130173, 2130174, 2130175, 2130176, 2130177</t>
        </is>
      </c>
      <c r="L11" s="5" t="inlineStr"/>
      <c r="M11" s="6" t="n">
        <v>64</v>
      </c>
      <c r="N11" s="6" t="n">
        <v>32</v>
      </c>
      <c r="O11" s="6" t="n">
        <v>41</v>
      </c>
      <c r="P11" s="5" t="inlineStr">
        <is>
          <t>yes</t>
        </is>
      </c>
      <c r="Q11" s="5" t="inlineStr">
        <is>
          <t>—</t>
        </is>
      </c>
    </row>
    <row r="12">
      <c r="A12" s="16" t="inlineStr">
        <is>
          <t>Live</t>
        </is>
      </c>
      <c r="B12" s="5" t="inlineStr">
        <is>
          <t>Daily Live Speed Run</t>
        </is>
      </c>
      <c r="C12" s="5" t="inlineStr">
        <is>
          <t>220</t>
        </is>
      </c>
      <c r="D12" s="5" t="inlineStr"/>
      <c r="E12" s="6" t="n">
        <v>0</v>
      </c>
      <c r="F12" s="9" t="n">
        <v>0</v>
      </c>
      <c r="G12" s="5" t="inlineStr"/>
      <c r="H12" s="5" t="inlineStr"/>
      <c r="I12" s="5" t="inlineStr"/>
      <c r="J12" s="6" t="n">
        <v>7</v>
      </c>
      <c r="K12" s="5" t="inlineStr">
        <is>
          <t>2200171, 2200172, 2200173, 2200174, 2200175, 2200176, 2200177</t>
        </is>
      </c>
      <c r="L12" s="5" t="inlineStr"/>
      <c r="M12" s="6" t="n">
        <v>64</v>
      </c>
      <c r="N12" s="6" t="n">
        <v>26</v>
      </c>
      <c r="O12" s="6" t="n">
        <v>67</v>
      </c>
      <c r="P12" s="5" t="inlineStr">
        <is>
          <t>yes</t>
        </is>
      </c>
      <c r="Q12" s="5" t="inlineStr">
        <is>
          <t>—</t>
        </is>
      </c>
    </row>
    <row r="13">
      <c r="A13" s="19" t="inlineStr">
        <is>
          <t>Other</t>
        </is>
      </c>
      <c r="B13" s="5" t="inlineStr">
        <is>
          <t>Daily Nocturnal Mixed Bag</t>
        </is>
      </c>
      <c r="C13" s="5" t="inlineStr">
        <is>
          <t>255</t>
        </is>
      </c>
      <c r="D13" s="5" t="inlineStr"/>
      <c r="E13" s="6" t="n">
        <v>0</v>
      </c>
      <c r="F13" s="9" t="n">
        <v>0</v>
      </c>
      <c r="G13" s="5" t="inlineStr"/>
      <c r="H13" s="5" t="inlineStr"/>
      <c r="I13" s="5" t="inlineStr"/>
      <c r="J13" s="6" t="n">
        <v>7</v>
      </c>
      <c r="K13" s="5" t="inlineStr">
        <is>
          <t>2550160, 2550161, 2550162, 2550163, 2550164, 2550165, 2550166</t>
        </is>
      </c>
      <c r="L13" s="5" t="inlineStr"/>
      <c r="M13" s="6" t="n">
        <v>128</v>
      </c>
      <c r="N13" s="6" t="n">
        <v>21</v>
      </c>
      <c r="O13" s="6" t="n">
        <v>43</v>
      </c>
      <c r="P13" s="5" t="inlineStr">
        <is>
          <t>yes</t>
        </is>
      </c>
      <c r="Q13" s="5" t="inlineStr">
        <is>
          <t>—</t>
        </is>
      </c>
    </row>
    <row r="14">
      <c r="A14" s="19" t="inlineStr">
        <is>
          <t>Other</t>
        </is>
      </c>
      <c r="B14" s="5" t="inlineStr">
        <is>
          <t>Daily OOTP and Chill</t>
        </is>
      </c>
      <c r="C14" s="5" t="inlineStr">
        <is>
          <t>222</t>
        </is>
      </c>
      <c r="D14" s="5" t="inlineStr"/>
      <c r="E14" s="6" t="n">
        <v>0</v>
      </c>
      <c r="F14" s="9" t="n">
        <v>0</v>
      </c>
      <c r="G14" s="5" t="inlineStr"/>
      <c r="H14" s="5" t="inlineStr"/>
      <c r="I14" s="5" t="inlineStr"/>
      <c r="J14" s="6" t="n">
        <v>7</v>
      </c>
      <c r="K14" s="5" t="inlineStr">
        <is>
          <t>2220171, 2220172, 2220173, 2220174, 2220175, 2220176, 2220177</t>
        </is>
      </c>
      <c r="L14" s="5" t="inlineStr"/>
      <c r="M14" s="6" t="n">
        <v>128</v>
      </c>
      <c r="N14" s="6" t="n">
        <v>21</v>
      </c>
      <c r="O14" s="6" t="n">
        <v>65</v>
      </c>
      <c r="P14" s="5" t="inlineStr">
        <is>
          <t>yes</t>
        </is>
      </c>
      <c r="Q14" s="5" t="inlineStr">
        <is>
          <t>—</t>
        </is>
      </c>
    </row>
    <row r="15">
      <c r="A15" s="19" t="inlineStr">
        <is>
          <t>Other</t>
        </is>
      </c>
      <c r="B15" s="5" t="inlineStr">
        <is>
          <t>Daily Tuck in Time</t>
        </is>
      </c>
      <c r="C15" s="5" t="inlineStr">
        <is>
          <t>223</t>
        </is>
      </c>
      <c r="D15" s="5" t="inlineStr"/>
      <c r="E15" s="6" t="n">
        <v>0</v>
      </c>
      <c r="F15" s="9" t="n">
        <v>0</v>
      </c>
      <c r="G15" s="5" t="inlineStr"/>
      <c r="H15" s="5" t="inlineStr"/>
      <c r="I15" s="5" t="inlineStr"/>
      <c r="J15" s="6" t="n">
        <v>7</v>
      </c>
      <c r="K15" s="5" t="inlineStr">
        <is>
          <t>2230171, 2230172, 2230173, 2230174, 2230175, 2230176, 2230177</t>
        </is>
      </c>
      <c r="L15" s="5" t="inlineStr"/>
      <c r="M15" s="6" t="n">
        <v>128</v>
      </c>
      <c r="N15" s="6" t="n">
        <v>21</v>
      </c>
      <c r="O15" s="6" t="n">
        <v>86</v>
      </c>
      <c r="P15" s="5" t="inlineStr">
        <is>
          <t>yes</t>
        </is>
      </c>
      <c r="Q15" s="5" t="inlineStr">
        <is>
          <t>—</t>
        </is>
      </c>
    </row>
    <row r="16">
      <c r="A16" s="16" t="inlineStr">
        <is>
          <t>Live</t>
        </is>
      </c>
      <c r="B16" s="5" t="inlineStr">
        <is>
          <t>Daily Live Breakfast</t>
        </is>
      </c>
      <c r="C16" s="5" t="inlineStr">
        <is>
          <t>205</t>
        </is>
      </c>
      <c r="D16" s="5" t="inlineStr"/>
      <c r="E16" s="6" t="n">
        <v>0</v>
      </c>
      <c r="F16" s="9" t="n">
        <v>0</v>
      </c>
      <c r="G16" s="5" t="inlineStr"/>
      <c r="H16" s="5" t="inlineStr"/>
      <c r="I16" s="5" t="inlineStr"/>
      <c r="J16" s="6" t="n">
        <v>7</v>
      </c>
      <c r="K16" s="5" t="inlineStr">
        <is>
          <t>2050171, 2050172, 2050173, 2050174, 2050175, 2050176, 2050177</t>
        </is>
      </c>
      <c r="L16" s="5" t="inlineStr"/>
      <c r="M16" s="6" t="n">
        <v>64</v>
      </c>
      <c r="N16" s="6" t="n">
        <v>19</v>
      </c>
      <c r="O16" s="6" t="n">
        <v>51</v>
      </c>
      <c r="P16" s="5" t="inlineStr">
        <is>
          <t>yes</t>
        </is>
      </c>
      <c r="Q16" s="5" t="inlineStr">
        <is>
          <t>—</t>
        </is>
      </c>
    </row>
    <row r="17">
      <c r="A17" s="19" t="inlineStr">
        <is>
          <t>Other</t>
        </is>
      </c>
      <c r="B17" s="5" t="inlineStr">
        <is>
          <t>Daily Struggling to Sleep - DBL</t>
        </is>
      </c>
      <c r="C17" s="5" t="inlineStr">
        <is>
          <t>224</t>
        </is>
      </c>
      <c r="D17" s="5" t="inlineStr"/>
      <c r="E17" s="6" t="n">
        <v>0</v>
      </c>
      <c r="F17" s="9" t="n">
        <v>0</v>
      </c>
      <c r="G17" s="5" t="inlineStr"/>
      <c r="H17" s="5" t="inlineStr"/>
      <c r="I17" s="5" t="inlineStr"/>
      <c r="J17" s="6" t="n">
        <v>7</v>
      </c>
      <c r="K17" s="5" t="inlineStr">
        <is>
          <t>2240171, 2240172, 2240173, 2240174, 2240175, 2240176, 2240177</t>
        </is>
      </c>
      <c r="L17" s="5" t="inlineStr"/>
      <c r="M17" s="6" t="n">
        <v>64</v>
      </c>
      <c r="N17" s="6" t="n">
        <v>19</v>
      </c>
      <c r="O17" s="6" t="n">
        <v>86</v>
      </c>
      <c r="P17" s="5" t="inlineStr">
        <is>
          <t>yes</t>
        </is>
      </c>
      <c r="Q17" s="5" t="inlineStr">
        <is>
          <t>—</t>
        </is>
      </c>
    </row>
    <row r="18">
      <c r="A18" s="19" t="inlineStr">
        <is>
          <t>Other</t>
        </is>
      </c>
      <c r="B18" s="5" t="inlineStr">
        <is>
          <t>Daily Up Late with Rich - LAD</t>
        </is>
      </c>
      <c r="C18" s="5" t="inlineStr">
        <is>
          <t>225</t>
        </is>
      </c>
      <c r="D18" s="5" t="inlineStr"/>
      <c r="E18" s="6" t="n">
        <v>0</v>
      </c>
      <c r="F18" s="9" t="n">
        <v>0</v>
      </c>
      <c r="G18" s="5" t="inlineStr"/>
      <c r="H18" s="5" t="inlineStr"/>
      <c r="I18" s="5" t="inlineStr"/>
      <c r="J18" s="6" t="n">
        <v>7</v>
      </c>
      <c r="K18" s="5" t="inlineStr">
        <is>
          <t>2250171, 2250172, 2250173, 2250174, 2250175, 2250176, 2250177</t>
        </is>
      </c>
      <c r="L18" s="5" t="inlineStr"/>
      <c r="M18" s="6" t="n">
        <v>64</v>
      </c>
      <c r="N18" s="6" t="n">
        <v>18</v>
      </c>
      <c r="O18" s="6" t="n">
        <v>24</v>
      </c>
      <c r="P18" s="5" t="inlineStr">
        <is>
          <t>yes</t>
        </is>
      </c>
      <c r="Q18" s="5" t="inlineStr">
        <is>
          <t>—</t>
        </is>
      </c>
    </row>
    <row r="19">
      <c r="A19" s="19" t="inlineStr">
        <is>
          <t>Other</t>
        </is>
      </c>
      <c r="B19" s="5" t="inlineStr">
        <is>
          <t>Daily Rise and Shine</t>
        </is>
      </c>
      <c r="C19" s="5" t="inlineStr">
        <is>
          <t>203</t>
        </is>
      </c>
      <c r="D19" s="5" t="inlineStr"/>
      <c r="E19" s="6" t="n">
        <v>0</v>
      </c>
      <c r="F19" s="9" t="n">
        <v>0</v>
      </c>
      <c r="G19" s="5" t="inlineStr"/>
      <c r="H19" s="5" t="inlineStr"/>
      <c r="I19" s="5" t="inlineStr"/>
      <c r="J19" s="6" t="n">
        <v>7</v>
      </c>
      <c r="K19" s="5" t="inlineStr">
        <is>
          <t>2030171, 2030172, 2030173, 2030174, 2030175, 2030176, 2030177</t>
        </is>
      </c>
      <c r="L19" s="5" t="inlineStr"/>
      <c r="M19" s="6" t="n">
        <v>128</v>
      </c>
      <c r="N19" s="6" t="n">
        <v>14</v>
      </c>
      <c r="O19" s="6" t="n">
        <v>41</v>
      </c>
      <c r="P19" s="5" t="inlineStr">
        <is>
          <t>yes</t>
        </is>
      </c>
      <c r="Q19" s="5" t="inlineStr">
        <is>
          <t>—</t>
        </is>
      </c>
    </row>
    <row r="20">
      <c r="A20" s="19" t="inlineStr">
        <is>
          <t>Other</t>
        </is>
      </c>
      <c r="B20" s="5" t="inlineStr">
        <is>
          <t>Daily Good Orderly Evening</t>
        </is>
      </c>
      <c r="C20" s="5" t="inlineStr">
        <is>
          <t>259</t>
        </is>
      </c>
      <c r="D20" s="5" t="inlineStr"/>
      <c r="E20" s="6" t="n">
        <v>0</v>
      </c>
      <c r="F20" s="9" t="n">
        <v>0</v>
      </c>
      <c r="G20" s="5" t="inlineStr"/>
      <c r="H20" s="5" t="inlineStr"/>
      <c r="I20" s="5" t="inlineStr"/>
      <c r="J20" s="6" t="n">
        <v>7</v>
      </c>
      <c r="K20" s="5" t="inlineStr">
        <is>
          <t>2590097, 2590098, 2590099, 2590100, 2590101, 2590102, 2590103</t>
        </is>
      </c>
      <c r="L20" s="5" t="inlineStr"/>
      <c r="M20" s="6" t="n">
        <v>64</v>
      </c>
      <c r="N20" s="6" t="n">
        <v>13</v>
      </c>
      <c r="O20" s="6" t="n">
        <v>27</v>
      </c>
      <c r="P20" s="5" t="inlineStr">
        <is>
          <t>yes</t>
        </is>
      </c>
      <c r="Q20" s="5" t="inlineStr">
        <is>
          <t>—</t>
        </is>
      </c>
    </row>
    <row r="21">
      <c r="A21" s="19" t="inlineStr">
        <is>
          <t>Other</t>
        </is>
      </c>
      <c r="B21" s="5" t="inlineStr">
        <is>
          <t>Daily Historical Primetime</t>
        </is>
      </c>
      <c r="C21" s="5" t="inlineStr">
        <is>
          <t>219</t>
        </is>
      </c>
      <c r="D21" s="5" t="inlineStr"/>
      <c r="E21" s="6" t="n">
        <v>0</v>
      </c>
      <c r="F21" s="9" t="n">
        <v>0</v>
      </c>
      <c r="G21" s="5" t="inlineStr"/>
      <c r="H21" s="5" t="inlineStr"/>
      <c r="I21" s="5" t="inlineStr"/>
      <c r="J21" s="6" t="n">
        <v>7</v>
      </c>
      <c r="K21" s="5" t="inlineStr">
        <is>
          <t>2190171, 2190172, 2190173, 2190174, 2190175, 2190176, 2190177</t>
        </is>
      </c>
      <c r="L21" s="5" t="inlineStr"/>
      <c r="M21" s="6" t="n">
        <v>128</v>
      </c>
      <c r="N21" s="6" t="n">
        <v>13</v>
      </c>
      <c r="O21" s="6" t="n">
        <v>35</v>
      </c>
      <c r="P21" s="5" t="inlineStr">
        <is>
          <t>yes</t>
        </is>
      </c>
      <c r="Q21" s="5" t="inlineStr">
        <is>
          <t>—</t>
        </is>
      </c>
    </row>
    <row r="22">
      <c r="A22" s="15" t="inlineStr">
        <is>
          <t>Open</t>
        </is>
      </c>
      <c r="B22" s="5" t="inlineStr">
        <is>
          <t>Dr. Dynastic's Doc Rock Derby</t>
        </is>
      </c>
      <c r="C22" s="5" t="inlineStr">
        <is>
          <t>216</t>
        </is>
      </c>
      <c r="D22" s="5" t="inlineStr"/>
      <c r="E22" s="6" t="n">
        <v>0</v>
      </c>
      <c r="F22" s="9" t="n">
        <v>0</v>
      </c>
      <c r="G22" s="5" t="inlineStr"/>
      <c r="H22" s="5" t="inlineStr"/>
      <c r="I22" s="5" t="inlineStr"/>
      <c r="J22" s="6" t="n">
        <v>7</v>
      </c>
      <c r="K22" s="5" t="inlineStr">
        <is>
          <t>2160172, 2160173, 2160174, 2160175, 2160176, 2160177, 2160178</t>
        </is>
      </c>
      <c r="L22" s="5" t="inlineStr">
        <is>
          <t>40-105</t>
        </is>
      </c>
      <c r="M22" s="6" t="n">
        <v>64</v>
      </c>
      <c r="N22" s="6" t="n">
        <v>11</v>
      </c>
      <c r="O22" s="6" t="n">
        <v>24</v>
      </c>
      <c r="P22" s="5" t="inlineStr">
        <is>
          <t>yes</t>
        </is>
      </c>
      <c r="Q22" s="5" t="inlineStr">
        <is>
          <t>—</t>
        </is>
      </c>
    </row>
    <row r="23">
      <c r="A23" s="19" t="inlineStr">
        <is>
          <t>Other</t>
        </is>
      </c>
      <c r="B23" s="5" t="inlineStr">
        <is>
          <t>Daily Hitters First</t>
        </is>
      </c>
      <c r="C23" s="5" t="inlineStr">
        <is>
          <t>258</t>
        </is>
      </c>
      <c r="D23" s="5" t="inlineStr"/>
      <c r="E23" s="6" t="n">
        <v>0</v>
      </c>
      <c r="F23" s="9" t="n">
        <v>0</v>
      </c>
      <c r="G23" s="5" t="inlineStr"/>
      <c r="H23" s="5" t="inlineStr"/>
      <c r="I23" s="5" t="inlineStr"/>
      <c r="J23" s="6" t="n">
        <v>7</v>
      </c>
      <c r="K23" s="5" t="inlineStr">
        <is>
          <t>2580098, 2580099, 2580100, 2580101, 2580102, 2580103, 2580104</t>
        </is>
      </c>
      <c r="L23" s="5" t="inlineStr"/>
      <c r="M23" s="6" t="n">
        <v>64</v>
      </c>
      <c r="N23" s="6" t="n">
        <v>9</v>
      </c>
      <c r="O23" s="6" t="n">
        <v>4</v>
      </c>
      <c r="P23" s="5" t="inlineStr">
        <is>
          <t>yes</t>
        </is>
      </c>
      <c r="Q23" s="5" t="inlineStr">
        <is>
          <t>—</t>
        </is>
      </c>
    </row>
    <row r="24">
      <c r="A24" s="19" t="inlineStr">
        <is>
          <t>Other</t>
        </is>
      </c>
      <c r="B24" s="5" t="inlineStr">
        <is>
          <t>Daily They've Gone to Plaid</t>
        </is>
      </c>
      <c r="C24" s="5" t="inlineStr">
        <is>
          <t>221</t>
        </is>
      </c>
      <c r="D24" s="5" t="inlineStr"/>
      <c r="E24" s="6" t="n">
        <v>0</v>
      </c>
      <c r="F24" s="9" t="n">
        <v>0</v>
      </c>
      <c r="G24" s="5" t="inlineStr"/>
      <c r="H24" s="5" t="inlineStr"/>
      <c r="I24" s="5" t="inlineStr"/>
      <c r="J24" s="6" t="n">
        <v>7</v>
      </c>
      <c r="K24" s="5" t="inlineStr">
        <is>
          <t>2210171, 2210172, 2210173, 2210174, 2210175, 2210176, 2210177</t>
        </is>
      </c>
      <c r="L24" s="5" t="inlineStr"/>
      <c r="M24" s="6" t="n">
        <v>64</v>
      </c>
      <c r="N24" s="6" t="n">
        <v>9</v>
      </c>
      <c r="O24" s="6" t="n">
        <v>10</v>
      </c>
      <c r="P24" s="5" t="inlineStr">
        <is>
          <t>yes</t>
        </is>
      </c>
      <c r="Q24" s="5" t="inlineStr">
        <is>
          <t>—</t>
        </is>
      </c>
    </row>
    <row r="25">
      <c r="A25" s="19" t="inlineStr">
        <is>
          <t>Other</t>
        </is>
      </c>
      <c r="B25" s="5" t="inlineStr">
        <is>
          <t>Daily Morning Mixed Bag</t>
        </is>
      </c>
      <c r="C25" s="5" t="inlineStr">
        <is>
          <t>252</t>
        </is>
      </c>
      <c r="D25" s="5" t="inlineStr"/>
      <c r="E25" s="6" t="n">
        <v>0</v>
      </c>
      <c r="F25" s="9" t="n">
        <v>0</v>
      </c>
      <c r="G25" s="5" t="inlineStr"/>
      <c r="H25" s="5" t="inlineStr"/>
      <c r="I25" s="5" t="inlineStr"/>
      <c r="J25" s="6" t="n">
        <v>7</v>
      </c>
      <c r="K25" s="5" t="inlineStr">
        <is>
          <t>2520160, 2520161, 2520162, 2520163, 2520164, 2520165, 2520166</t>
        </is>
      </c>
      <c r="L25" s="5" t="inlineStr"/>
      <c r="M25" s="6" t="n">
        <v>128</v>
      </c>
      <c r="N25" s="6" t="n">
        <v>8</v>
      </c>
      <c r="O25" s="6" t="n">
        <v>12</v>
      </c>
      <c r="P25" s="5" t="inlineStr">
        <is>
          <t>yes</t>
        </is>
      </c>
      <c r="Q25" s="5" t="inlineStr">
        <is>
          <t>—</t>
        </is>
      </c>
    </row>
    <row r="26">
      <c r="A26" s="19" t="inlineStr">
        <is>
          <t>Other</t>
        </is>
      </c>
      <c r="B26" s="5" t="inlineStr">
        <is>
          <t>Sunday PD Main Event</t>
        </is>
      </c>
      <c r="C26" s="5" t="inlineStr">
        <is>
          <t>247</t>
        </is>
      </c>
      <c r="D26" s="5" t="inlineStr"/>
      <c r="E26" s="6" t="n">
        <v>0</v>
      </c>
      <c r="F26" s="9" t="n">
        <v>0</v>
      </c>
      <c r="G26" s="5" t="inlineStr"/>
      <c r="H26" s="5" t="inlineStr"/>
      <c r="I26" s="5" t="inlineStr"/>
      <c r="J26" s="6" t="n">
        <v>2</v>
      </c>
      <c r="K26" s="5" t="inlineStr">
        <is>
          <t>2470024, 2470025</t>
        </is>
      </c>
      <c r="L26" s="5" t="inlineStr"/>
      <c r="M26" s="6" t="n">
        <v>256</v>
      </c>
      <c r="N26" s="6" t="n">
        <v>8</v>
      </c>
      <c r="O26" s="6" t="n">
        <v>2</v>
      </c>
      <c r="P26" s="5" t="inlineStr">
        <is>
          <t>yes</t>
        </is>
      </c>
      <c r="Q26" s="5" t="inlineStr">
        <is>
          <t>—</t>
        </is>
      </c>
    </row>
    <row r="27">
      <c r="A27" s="19" t="inlineStr">
        <is>
          <t>Other</t>
        </is>
      </c>
      <c r="B27" s="5" t="inlineStr">
        <is>
          <t>Daily This Could've Been an Email - RCK</t>
        </is>
      </c>
      <c r="C27" s="5" t="inlineStr">
        <is>
          <t>214</t>
        </is>
      </c>
      <c r="D27" s="5" t="inlineStr"/>
      <c r="E27" s="6" t="n">
        <v>0</v>
      </c>
      <c r="F27" s="9" t="n">
        <v>0</v>
      </c>
      <c r="G27" s="5" t="inlineStr"/>
      <c r="H27" s="5" t="inlineStr"/>
      <c r="I27" s="5" t="inlineStr"/>
      <c r="J27" s="6" t="n">
        <v>7</v>
      </c>
      <c r="K27" s="5" t="inlineStr">
        <is>
          <t>2140171, 2140172, 2140173, 2140174, 2140175, 2140176, 2140177</t>
        </is>
      </c>
      <c r="L27" s="5" t="inlineStr"/>
      <c r="M27" s="6" t="n">
        <v>64</v>
      </c>
      <c r="N27" s="6" t="n">
        <v>6</v>
      </c>
      <c r="O27" s="6" t="n">
        <v>26</v>
      </c>
      <c r="P27" s="5" t="inlineStr">
        <is>
          <t>yes</t>
        </is>
      </c>
      <c r="Q27" s="5" t="inlineStr">
        <is>
          <t>—</t>
        </is>
      </c>
    </row>
    <row r="28">
      <c r="A28" s="19" t="inlineStr">
        <is>
          <t>Other</t>
        </is>
      </c>
      <c r="B28" s="5" t="inlineStr">
        <is>
          <t>Tuesday Evening Adrenaline Rush</t>
        </is>
      </c>
      <c r="C28" s="5" t="inlineStr">
        <is>
          <t>232</t>
        </is>
      </c>
      <c r="D28" s="5" t="inlineStr"/>
      <c r="E28" s="6" t="n">
        <v>0</v>
      </c>
      <c r="F28" s="9" t="n">
        <v>0</v>
      </c>
      <c r="G28" s="5" t="inlineStr"/>
      <c r="H28" s="5" t="inlineStr"/>
      <c r="I28" s="5" t="inlineStr"/>
      <c r="J28" s="6" t="n">
        <v>2</v>
      </c>
      <c r="K28" s="5" t="inlineStr">
        <is>
          <t>2320024, 2320025</t>
        </is>
      </c>
      <c r="L28" s="5" t="inlineStr"/>
      <c r="M28" s="6" t="n">
        <v>256</v>
      </c>
      <c r="N28" s="6" t="n">
        <v>6</v>
      </c>
      <c r="O28" s="6" t="n">
        <v>2</v>
      </c>
      <c r="P28" s="5" t="inlineStr">
        <is>
          <t>yes</t>
        </is>
      </c>
      <c r="Q28" s="5" t="inlineStr">
        <is>
          <t>—</t>
        </is>
      </c>
    </row>
    <row r="29">
      <c r="A29" s="19" t="inlineStr">
        <is>
          <t>Other</t>
        </is>
      </c>
      <c r="B29" s="5" t="inlineStr">
        <is>
          <t>Daily Double Espresso Morning</t>
        </is>
      </c>
      <c r="C29" s="5" t="inlineStr">
        <is>
          <t>204</t>
        </is>
      </c>
      <c r="D29" s="5" t="inlineStr"/>
      <c r="E29" s="6" t="n">
        <v>0</v>
      </c>
      <c r="F29" s="9" t="n">
        <v>0</v>
      </c>
      <c r="G29" s="5" t="inlineStr"/>
      <c r="H29" s="5" t="inlineStr"/>
      <c r="I29" s="5" t="inlineStr"/>
      <c r="J29" s="6" t="n">
        <v>7</v>
      </c>
      <c r="K29" s="5" t="inlineStr">
        <is>
          <t>2040171, 2040172, 2040173, 2040174, 2040175, 2040176, 2040177</t>
        </is>
      </c>
      <c r="L29" s="5" t="inlineStr"/>
      <c r="M29" s="6" t="n">
        <v>64</v>
      </c>
      <c r="N29" s="6" t="n">
        <v>5</v>
      </c>
      <c r="O29" s="6" t="n">
        <v>8</v>
      </c>
      <c r="P29" s="5" t="inlineStr">
        <is>
          <t>yes</t>
        </is>
      </c>
      <c r="Q29" s="5" t="inlineStr">
        <is>
          <t>—</t>
        </is>
      </c>
    </row>
    <row r="30">
      <c r="A30" s="19" t="inlineStr">
        <is>
          <t>Other</t>
        </is>
      </c>
      <c r="B30" s="5" t="inlineStr">
        <is>
          <t>Daily Evening Mixed Bag</t>
        </is>
      </c>
      <c r="C30" s="5" t="inlineStr">
        <is>
          <t>254</t>
        </is>
      </c>
      <c r="D30" s="5" t="inlineStr"/>
      <c r="E30" s="6" t="n">
        <v>0</v>
      </c>
      <c r="F30" s="9" t="n">
        <v>0</v>
      </c>
      <c r="G30" s="5" t="inlineStr"/>
      <c r="H30" s="5" t="inlineStr"/>
      <c r="I30" s="5" t="inlineStr"/>
      <c r="J30" s="6" t="n">
        <v>7</v>
      </c>
      <c r="K30" s="5" t="inlineStr">
        <is>
          <t>2540161, 2540162, 2540163, 2540164, 2540165, 2540166, 2540167</t>
        </is>
      </c>
      <c r="L30" s="5" t="inlineStr"/>
      <c r="M30" s="6" t="n">
        <v>64</v>
      </c>
      <c r="N30" s="6" t="n">
        <v>5</v>
      </c>
      <c r="O30" s="6" t="n">
        <v>2</v>
      </c>
      <c r="P30" s="5" t="inlineStr">
        <is>
          <t>yes</t>
        </is>
      </c>
      <c r="Q30" s="5" t="inlineStr">
        <is>
          <t>—</t>
        </is>
      </c>
    </row>
    <row r="31">
      <c r="A31" s="19" t="inlineStr">
        <is>
          <t>Other</t>
        </is>
      </c>
      <c r="B31" s="5" t="inlineStr">
        <is>
          <t>Friday Draft About Nothing</t>
        </is>
      </c>
      <c r="C31" s="5" t="inlineStr">
        <is>
          <t>239</t>
        </is>
      </c>
      <c r="D31" s="5" t="inlineStr"/>
      <c r="E31" s="6" t="n">
        <v>0</v>
      </c>
      <c r="F31" s="9" t="n">
        <v>0</v>
      </c>
      <c r="G31" s="5" t="inlineStr"/>
      <c r="H31" s="5" t="inlineStr"/>
      <c r="I31" s="5" t="inlineStr"/>
      <c r="J31" s="6" t="n">
        <v>1</v>
      </c>
      <c r="K31" s="5" t="inlineStr">
        <is>
          <t>2390024</t>
        </is>
      </c>
      <c r="L31" s="5" t="inlineStr"/>
      <c r="M31" s="6" t="n">
        <v>256</v>
      </c>
      <c r="N31" s="6" t="n">
        <v>5</v>
      </c>
      <c r="O31" s="6" t="n">
        <v>16</v>
      </c>
      <c r="P31" s="5" t="inlineStr">
        <is>
          <t>yes</t>
        </is>
      </c>
      <c r="Q31" s="5" t="inlineStr">
        <is>
          <t>—</t>
        </is>
      </c>
    </row>
    <row r="32">
      <c r="A32" s="19" t="inlineStr">
        <is>
          <t>Other</t>
        </is>
      </c>
      <c r="B32" s="5" t="inlineStr">
        <is>
          <t>Sunday Up and Down the Ladder</t>
        </is>
      </c>
      <c r="C32" s="5" t="inlineStr">
        <is>
          <t>246</t>
        </is>
      </c>
      <c r="D32" s="5" t="inlineStr"/>
      <c r="E32" s="6" t="n">
        <v>0</v>
      </c>
      <c r="F32" s="9" t="n">
        <v>0</v>
      </c>
      <c r="G32" s="5" t="inlineStr"/>
      <c r="H32" s="5" t="inlineStr"/>
      <c r="I32" s="5" t="inlineStr"/>
      <c r="J32" s="6" t="n">
        <v>2</v>
      </c>
      <c r="K32" s="5" t="inlineStr">
        <is>
          <t>2460024, 2460025</t>
        </is>
      </c>
      <c r="L32" s="5" t="inlineStr"/>
      <c r="M32" s="6" t="n">
        <v>128</v>
      </c>
      <c r="N32" s="6" t="n">
        <v>5</v>
      </c>
      <c r="O32" s="6" t="n">
        <v>10</v>
      </c>
      <c r="P32" s="5" t="inlineStr">
        <is>
          <t>yes</t>
        </is>
      </c>
      <c r="Q32" s="5" t="inlineStr">
        <is>
          <t>—</t>
        </is>
      </c>
    </row>
    <row r="33">
      <c r="A33" s="19" t="inlineStr">
        <is>
          <t>Other</t>
        </is>
      </c>
      <c r="B33" s="5" t="inlineStr">
        <is>
          <t>TWIPT Saturday Showdown</t>
        </is>
      </c>
      <c r="C33" s="5" t="inlineStr">
        <is>
          <t>244</t>
        </is>
      </c>
      <c r="D33" s="5" t="inlineStr"/>
      <c r="E33" s="6" t="n">
        <v>0</v>
      </c>
      <c r="F33" s="9" t="n">
        <v>0</v>
      </c>
      <c r="G33" s="5" t="inlineStr"/>
      <c r="H33" s="5" t="inlineStr"/>
      <c r="I33" s="5" t="inlineStr"/>
      <c r="J33" s="6" t="n">
        <v>2</v>
      </c>
      <c r="K33" s="5" t="inlineStr">
        <is>
          <t>2440024, 2440025</t>
        </is>
      </c>
      <c r="L33" s="5" t="inlineStr"/>
      <c r="M33" s="6" t="n">
        <v>256</v>
      </c>
      <c r="N33" s="6" t="n">
        <v>5</v>
      </c>
      <c r="O33" s="6" t="n">
        <v>28</v>
      </c>
      <c r="P33" s="5" t="inlineStr">
        <is>
          <t>yes</t>
        </is>
      </c>
      <c r="Q33" s="5" t="inlineStr">
        <is>
          <t>—</t>
        </is>
      </c>
    </row>
    <row r="34">
      <c r="A34" s="19" t="inlineStr">
        <is>
          <t>Other</t>
        </is>
      </c>
      <c r="B34" s="5" t="inlineStr">
        <is>
          <t>Thursday Overnight Under the Covers</t>
        </is>
      </c>
      <c r="C34" s="5" t="inlineStr">
        <is>
          <t>236</t>
        </is>
      </c>
      <c r="D34" s="5" t="inlineStr"/>
      <c r="E34" s="6" t="n">
        <v>0</v>
      </c>
      <c r="F34" s="9" t="n">
        <v>0</v>
      </c>
      <c r="G34" s="5" t="inlineStr"/>
      <c r="H34" s="5" t="inlineStr"/>
      <c r="I34" s="5" t="inlineStr"/>
      <c r="J34" s="6" t="n">
        <v>2</v>
      </c>
      <c r="K34" s="5" t="inlineStr">
        <is>
          <t>2360024, 2360025</t>
        </is>
      </c>
      <c r="L34" s="5" t="inlineStr"/>
      <c r="M34" s="6" t="n">
        <v>256</v>
      </c>
      <c r="N34" s="6" t="n">
        <v>5</v>
      </c>
      <c r="O34" s="6" t="n">
        <v>1</v>
      </c>
      <c r="P34" s="5" t="inlineStr">
        <is>
          <t>yes</t>
        </is>
      </c>
      <c r="Q34" s="5" t="inlineStr">
        <is>
          <t>—</t>
        </is>
      </c>
    </row>
    <row r="35">
      <c r="A35" s="19" t="inlineStr">
        <is>
          <t>Other</t>
        </is>
      </c>
      <c r="B35" s="5" t="inlineStr">
        <is>
          <t>Daily Pitchers First</t>
        </is>
      </c>
      <c r="C35" s="5" t="inlineStr">
        <is>
          <t>257</t>
        </is>
      </c>
      <c r="D35" s="5" t="inlineStr"/>
      <c r="E35" s="6" t="n">
        <v>0</v>
      </c>
      <c r="F35" s="9" t="n">
        <v>0</v>
      </c>
      <c r="G35" s="5" t="inlineStr"/>
      <c r="H35" s="5" t="inlineStr"/>
      <c r="I35" s="5" t="inlineStr"/>
      <c r="J35" s="6" t="n">
        <v>7</v>
      </c>
      <c r="K35" s="5" t="inlineStr">
        <is>
          <t>2570098, 2570099, 2570100, 2570101, 2570102, 2570103, 2570104</t>
        </is>
      </c>
      <c r="L35" s="5" t="inlineStr"/>
      <c r="M35" s="6" t="n">
        <v>64</v>
      </c>
      <c r="N35" s="6" t="n">
        <v>4</v>
      </c>
      <c r="O35" s="6" t="n">
        <v>7</v>
      </c>
      <c r="P35" s="5" t="inlineStr">
        <is>
          <t>yes</t>
        </is>
      </c>
      <c r="Q35" s="5" t="inlineStr">
        <is>
          <t>—</t>
        </is>
      </c>
    </row>
    <row r="36">
      <c r="A36" s="19" t="inlineStr">
        <is>
          <t>Other</t>
        </is>
      </c>
      <c r="B36" s="5" t="inlineStr">
        <is>
          <t>Daily Rocking Chair Lunch</t>
        </is>
      </c>
      <c r="C36" s="5" t="inlineStr">
        <is>
          <t>210</t>
        </is>
      </c>
      <c r="D36" s="5" t="inlineStr"/>
      <c r="E36" s="6" t="n">
        <v>0</v>
      </c>
      <c r="F36" s="9" t="n">
        <v>0</v>
      </c>
      <c r="G36" s="5" t="inlineStr"/>
      <c r="H36" s="5" t="inlineStr"/>
      <c r="I36" s="5" t="inlineStr"/>
      <c r="J36" s="6" t="n">
        <v>7</v>
      </c>
      <c r="K36" s="5" t="inlineStr">
        <is>
          <t>2100171, 2100172, 2100173, 2100174, 2100175, 2100176, 2100177</t>
        </is>
      </c>
      <c r="L36" s="5" t="inlineStr"/>
      <c r="M36" s="6" t="n">
        <v>64</v>
      </c>
      <c r="N36" s="6" t="n">
        <v>4</v>
      </c>
      <c r="O36" s="6" t="n">
        <v>2</v>
      </c>
      <c r="P36" s="5" t="inlineStr">
        <is>
          <t>yes</t>
        </is>
      </c>
      <c r="Q36" s="5" t="inlineStr">
        <is>
          <t>—</t>
        </is>
      </c>
    </row>
    <row r="37">
      <c r="A37" s="19" t="inlineStr">
        <is>
          <t>Other</t>
        </is>
      </c>
      <c r="B37" s="5" t="inlineStr">
        <is>
          <t>Daily Snack Time on the Ladder</t>
        </is>
      </c>
      <c r="C37" s="5" t="inlineStr">
        <is>
          <t>212</t>
        </is>
      </c>
      <c r="D37" s="5" t="inlineStr"/>
      <c r="E37" s="6" t="n">
        <v>0</v>
      </c>
      <c r="F37" s="9" t="n">
        <v>0</v>
      </c>
      <c r="G37" s="5" t="inlineStr"/>
      <c r="H37" s="5" t="inlineStr"/>
      <c r="I37" s="5" t="inlineStr"/>
      <c r="J37" s="6" t="n">
        <v>7</v>
      </c>
      <c r="K37" s="5" t="inlineStr">
        <is>
          <t>2120171, 2120172, 2120173, 2120174, 2120175, 2120176, 2120177</t>
        </is>
      </c>
      <c r="L37" s="5" t="inlineStr"/>
      <c r="M37" s="6" t="n">
        <v>64</v>
      </c>
      <c r="N37" s="6" t="n">
        <v>4</v>
      </c>
      <c r="O37" s="6" t="n">
        <v>13</v>
      </c>
      <c r="P37" s="5" t="inlineStr">
        <is>
          <t>yes</t>
        </is>
      </c>
      <c r="Q37" s="5" t="inlineStr">
        <is>
          <t>—</t>
        </is>
      </c>
    </row>
    <row r="38">
      <c r="A38" s="19" t="inlineStr">
        <is>
          <t>Other</t>
        </is>
      </c>
      <c r="B38" s="5" t="inlineStr">
        <is>
          <t>Daily Mixed Up My Lunch</t>
        </is>
      </c>
      <c r="C38" s="5" t="inlineStr">
        <is>
          <t>253</t>
        </is>
      </c>
      <c r="D38" s="5" t="inlineStr"/>
      <c r="E38" s="6" t="n">
        <v>0</v>
      </c>
      <c r="F38" s="9" t="n">
        <v>0</v>
      </c>
      <c r="G38" s="5" t="inlineStr"/>
      <c r="H38" s="5" t="inlineStr"/>
      <c r="I38" s="5" t="inlineStr"/>
      <c r="J38" s="6" t="n">
        <v>7</v>
      </c>
      <c r="K38" s="5" t="inlineStr">
        <is>
          <t>2530161, 2530162, 2530163, 2530164, 2530165, 2530166, 2530167</t>
        </is>
      </c>
      <c r="L38" s="5" t="inlineStr"/>
      <c r="M38" s="6" t="n">
        <v>64</v>
      </c>
      <c r="N38" s="6" t="n">
        <v>3</v>
      </c>
      <c r="O38" s="6" t="n">
        <v>2</v>
      </c>
      <c r="P38" s="5" t="inlineStr">
        <is>
          <t>yes</t>
        </is>
      </c>
      <c r="Q38" s="5" t="inlineStr">
        <is>
          <t>—</t>
        </is>
      </c>
    </row>
    <row r="39">
      <c r="A39" s="19" t="inlineStr">
        <is>
          <t>Other</t>
        </is>
      </c>
      <c r="B39" s="5" t="inlineStr">
        <is>
          <t>Saturday Can't Sleep Clown Will Eat Me</t>
        </is>
      </c>
      <c r="C39" s="5" t="inlineStr">
        <is>
          <t>242</t>
        </is>
      </c>
      <c r="D39" s="5" t="inlineStr"/>
      <c r="E39" s="6" t="n">
        <v>0</v>
      </c>
      <c r="F39" s="9" t="n">
        <v>0</v>
      </c>
      <c r="G39" s="5" t="inlineStr"/>
      <c r="H39" s="5" t="inlineStr"/>
      <c r="I39" s="5" t="inlineStr"/>
      <c r="J39" s="6" t="n">
        <v>2</v>
      </c>
      <c r="K39" s="5" t="inlineStr">
        <is>
          <t>2420024, 2420025</t>
        </is>
      </c>
      <c r="L39" s="5" t="inlineStr"/>
      <c r="M39" s="6" t="n">
        <v>256</v>
      </c>
      <c r="N39" s="6" t="n">
        <v>3</v>
      </c>
      <c r="O39" s="6" t="n">
        <v>17</v>
      </c>
      <c r="P39" s="5" t="inlineStr">
        <is>
          <t>yes</t>
        </is>
      </c>
      <c r="Q39" s="5" t="inlineStr">
        <is>
          <t>—</t>
        </is>
      </c>
    </row>
    <row r="40">
      <c r="A40" s="19" t="inlineStr">
        <is>
          <t>Other</t>
        </is>
      </c>
      <c r="B40" s="5" t="inlineStr">
        <is>
          <t>Saturday Shrinkage</t>
        </is>
      </c>
      <c r="C40" s="5" t="inlineStr">
        <is>
          <t>243</t>
        </is>
      </c>
      <c r="D40" s="5" t="inlineStr"/>
      <c r="E40" s="6" t="n">
        <v>0</v>
      </c>
      <c r="F40" s="9" t="n">
        <v>0</v>
      </c>
      <c r="G40" s="5" t="inlineStr"/>
      <c r="H40" s="5" t="inlineStr"/>
      <c r="I40" s="5" t="inlineStr"/>
      <c r="J40" s="6" t="n">
        <v>2</v>
      </c>
      <c r="K40" s="5" t="inlineStr">
        <is>
          <t>2430024, 2430025</t>
        </is>
      </c>
      <c r="L40" s="5" t="inlineStr"/>
      <c r="M40" s="6" t="n">
        <v>256</v>
      </c>
      <c r="N40" s="6" t="n">
        <v>3</v>
      </c>
      <c r="O40" s="6" t="n">
        <v>6</v>
      </c>
      <c r="P40" s="5" t="inlineStr">
        <is>
          <t>yes</t>
        </is>
      </c>
      <c r="Q40" s="5" t="inlineStr">
        <is>
          <t>—</t>
        </is>
      </c>
    </row>
    <row r="41">
      <c r="A41" s="19" t="inlineStr">
        <is>
          <t>Other</t>
        </is>
      </c>
      <c r="B41" s="5" t="inlineStr">
        <is>
          <t>Daily Meeting About Meetings - ORD</t>
        </is>
      </c>
      <c r="C41" s="5" t="inlineStr">
        <is>
          <t>209</t>
        </is>
      </c>
      <c r="D41" s="5" t="inlineStr"/>
      <c r="E41" s="6" t="n">
        <v>0</v>
      </c>
      <c r="F41" s="9" t="n">
        <v>0</v>
      </c>
      <c r="G41" s="5" t="inlineStr"/>
      <c r="H41" s="5" t="inlineStr"/>
      <c r="I41" s="5" t="inlineStr"/>
      <c r="J41" s="6" t="n">
        <v>7</v>
      </c>
      <c r="K41" s="5" t="inlineStr">
        <is>
          <t>2090171, 2090172, 2090173, 2090174, 2090175, 2090176, 2090177</t>
        </is>
      </c>
      <c r="L41" s="5" t="inlineStr"/>
      <c r="M41" s="6" t="n">
        <v>64</v>
      </c>
      <c r="N41" s="6" t="n">
        <v>2</v>
      </c>
      <c r="O41" s="6" t="n">
        <v>10</v>
      </c>
      <c r="P41" s="5" t="inlineStr">
        <is>
          <t>yes</t>
        </is>
      </c>
      <c r="Q41" s="5" t="inlineStr">
        <is>
          <t>—</t>
        </is>
      </c>
    </row>
    <row r="42">
      <c r="A42" s="19" t="inlineStr">
        <is>
          <t>Other</t>
        </is>
      </c>
      <c r="B42" s="5" t="inlineStr">
        <is>
          <t>Monday Night History Lesson</t>
        </is>
      </c>
      <c r="C42" s="5" t="inlineStr">
        <is>
          <t>229</t>
        </is>
      </c>
      <c r="D42" s="5" t="inlineStr"/>
      <c r="E42" s="6" t="n">
        <v>0</v>
      </c>
      <c r="F42" s="9" t="n">
        <v>0</v>
      </c>
      <c r="G42" s="5" t="inlineStr"/>
      <c r="H42" s="5" t="inlineStr"/>
      <c r="I42" s="5" t="inlineStr"/>
      <c r="J42" s="6" t="n">
        <v>2</v>
      </c>
      <c r="K42" s="5" t="inlineStr">
        <is>
          <t>2290024, 2290025</t>
        </is>
      </c>
      <c r="L42" s="5" t="inlineStr"/>
      <c r="M42" s="6" t="n">
        <v>256</v>
      </c>
      <c r="N42" s="6" t="n">
        <v>2</v>
      </c>
      <c r="O42" s="6" t="n">
        <v>1</v>
      </c>
      <c r="P42" s="5" t="inlineStr">
        <is>
          <t>yes</t>
        </is>
      </c>
      <c r="Q42" s="5" t="inlineStr">
        <is>
          <t>—</t>
        </is>
      </c>
    </row>
    <row r="43">
      <c r="A43" s="19" t="inlineStr">
        <is>
          <t>Other</t>
        </is>
      </c>
      <c r="B43" s="5" t="inlineStr">
        <is>
          <t>Thursday Night Put it in the Books</t>
        </is>
      </c>
      <c r="C43" s="5" t="inlineStr">
        <is>
          <t>238</t>
        </is>
      </c>
      <c r="D43" s="5" t="inlineStr"/>
      <c r="E43" s="6" t="n">
        <v>0</v>
      </c>
      <c r="F43" s="9" t="n">
        <v>0</v>
      </c>
      <c r="G43" s="5" t="inlineStr"/>
      <c r="H43" s="5" t="inlineStr"/>
      <c r="I43" s="5" t="inlineStr"/>
      <c r="J43" s="6" t="n">
        <v>1</v>
      </c>
      <c r="K43" s="5" t="inlineStr">
        <is>
          <t>2380024</t>
        </is>
      </c>
      <c r="L43" s="5" t="inlineStr"/>
      <c r="M43" s="6" t="n">
        <v>256</v>
      </c>
      <c r="N43" s="6" t="n">
        <v>2</v>
      </c>
      <c r="O43" s="6" t="n">
        <v>10</v>
      </c>
      <c r="P43" s="5" t="inlineStr">
        <is>
          <t>yes</t>
        </is>
      </c>
      <c r="Q43" s="5" t="inlineStr">
        <is>
          <t>—</t>
        </is>
      </c>
    </row>
    <row r="44">
      <c r="A44" s="16" t="inlineStr">
        <is>
          <t>Live</t>
        </is>
      </c>
      <c r="B44" s="5" t="inlineStr">
        <is>
          <t>Tuesday Live Lampooning</t>
        </is>
      </c>
      <c r="C44" s="5" t="inlineStr">
        <is>
          <t>231</t>
        </is>
      </c>
      <c r="D44" s="5" t="inlineStr"/>
      <c r="E44" s="6" t="n">
        <v>0</v>
      </c>
      <c r="F44" s="9" t="n">
        <v>0</v>
      </c>
      <c r="G44" s="5" t="inlineStr"/>
      <c r="H44" s="5" t="inlineStr"/>
      <c r="I44" s="5" t="inlineStr"/>
      <c r="J44" s="6" t="n">
        <v>2</v>
      </c>
      <c r="K44" s="5" t="inlineStr">
        <is>
          <t>2310024, 2310025</t>
        </is>
      </c>
      <c r="L44" s="5" t="inlineStr"/>
      <c r="M44" s="6" t="n">
        <v>128</v>
      </c>
      <c r="N44" s="6" t="n">
        <v>2</v>
      </c>
      <c r="O44" s="6" t="n">
        <v>1</v>
      </c>
      <c r="P44" s="5" t="inlineStr">
        <is>
          <t>yes</t>
        </is>
      </c>
      <c r="Q44" s="5" t="inlineStr">
        <is>
          <t>—</t>
        </is>
      </c>
    </row>
    <row r="45">
      <c r="A45" s="19" t="inlineStr">
        <is>
          <t>Other</t>
        </is>
      </c>
      <c r="B45" s="5" t="inlineStr">
        <is>
          <t>Daily Around the Breakfast Table</t>
        </is>
      </c>
      <c r="C45" s="5" t="inlineStr">
        <is>
          <t>256</t>
        </is>
      </c>
      <c r="D45" s="5" t="inlineStr"/>
      <c r="E45" s="6" t="n">
        <v>0</v>
      </c>
      <c r="F45" s="9" t="n">
        <v>0</v>
      </c>
      <c r="G45" s="5" t="inlineStr"/>
      <c r="H45" s="5" t="inlineStr"/>
      <c r="I45" s="5" t="inlineStr"/>
      <c r="J45" s="6" t="n">
        <v>0</v>
      </c>
      <c r="K45" s="5" t="inlineStr"/>
      <c r="L45" s="5" t="inlineStr"/>
      <c r="M45" s="6" t="n">
        <v>64</v>
      </c>
      <c r="N45" s="6" t="n">
        <v>1</v>
      </c>
      <c r="O45" s="6" t="n">
        <v>1</v>
      </c>
      <c r="P45" s="5" t="inlineStr">
        <is>
          <t>yes</t>
        </is>
      </c>
      <c r="Q45" s="5" t="inlineStr">
        <is>
          <t>—</t>
        </is>
      </c>
    </row>
    <row r="46">
      <c r="A46" s="19" t="inlineStr">
        <is>
          <t>Other</t>
        </is>
      </c>
      <c r="B46" s="5" t="inlineStr">
        <is>
          <t>Daily Around the Horn at Night</t>
        </is>
      </c>
      <c r="C46" s="5" t="inlineStr">
        <is>
          <t>260</t>
        </is>
      </c>
      <c r="D46" s="5" t="inlineStr"/>
      <c r="E46" s="6" t="n">
        <v>0</v>
      </c>
      <c r="F46" s="9" t="n">
        <v>0</v>
      </c>
      <c r="G46" s="5" t="inlineStr"/>
      <c r="H46" s="5" t="inlineStr"/>
      <c r="I46" s="5" t="inlineStr"/>
      <c r="J46" s="6" t="n">
        <v>0</v>
      </c>
      <c r="K46" s="5" t="inlineStr"/>
      <c r="L46" s="5" t="inlineStr"/>
      <c r="M46" s="6" t="n">
        <v>64</v>
      </c>
      <c r="N46" s="6" t="n">
        <v>1</v>
      </c>
      <c r="O46" s="6" t="n">
        <v>3</v>
      </c>
      <c r="P46" s="5" t="inlineStr">
        <is>
          <t>yes</t>
        </is>
      </c>
      <c r="Q46" s="5" t="inlineStr">
        <is>
          <t>—</t>
        </is>
      </c>
    </row>
    <row r="47">
      <c r="A47" s="19" t="inlineStr">
        <is>
          <t>Other</t>
        </is>
      </c>
      <c r="B47" s="5" t="inlineStr">
        <is>
          <t>Daily Honey I Shrunk the Roster</t>
        </is>
      </c>
      <c r="C47" s="5" t="inlineStr">
        <is>
          <t>215</t>
        </is>
      </c>
      <c r="D47" s="5" t="inlineStr"/>
      <c r="E47" s="6" t="n">
        <v>0</v>
      </c>
      <c r="F47" s="9" t="n">
        <v>0</v>
      </c>
      <c r="G47" s="5" t="inlineStr"/>
      <c r="H47" s="5" t="inlineStr"/>
      <c r="I47" s="5" t="inlineStr"/>
      <c r="J47" s="6" t="n">
        <v>0</v>
      </c>
      <c r="K47" s="5" t="inlineStr"/>
      <c r="L47" s="5" t="inlineStr"/>
      <c r="M47" s="6" t="n">
        <v>128</v>
      </c>
      <c r="N47" s="6" t="n">
        <v>1</v>
      </c>
      <c r="O47" s="6" t="n">
        <v>1</v>
      </c>
      <c r="P47" s="5" t="inlineStr">
        <is>
          <t>yes</t>
        </is>
      </c>
      <c r="Q47" s="5" t="inlineStr">
        <is>
          <t>—</t>
        </is>
      </c>
    </row>
    <row r="48">
      <c r="A48" s="19" t="inlineStr">
        <is>
          <t>Other</t>
        </is>
      </c>
      <c r="B48" s="5" t="inlineStr">
        <is>
          <t>Daily Scrum</t>
        </is>
      </c>
      <c r="C48" s="5" t="inlineStr">
        <is>
          <t>208</t>
        </is>
      </c>
      <c r="D48" s="5" t="inlineStr"/>
      <c r="E48" s="6" t="n">
        <v>0</v>
      </c>
      <c r="F48" s="9" t="n">
        <v>0</v>
      </c>
      <c r="G48" s="5" t="inlineStr"/>
      <c r="H48" s="5" t="inlineStr"/>
      <c r="I48" s="5" t="inlineStr"/>
      <c r="J48" s="6" t="n">
        <v>0</v>
      </c>
      <c r="K48" s="5" t="inlineStr"/>
      <c r="L48" s="5" t="inlineStr"/>
      <c r="M48" s="6" t="n">
        <v>64</v>
      </c>
      <c r="N48" s="6" t="n">
        <v>1</v>
      </c>
      <c r="O48" s="6" t="n">
        <v>0</v>
      </c>
      <c r="P48" s="5" t="inlineStr">
        <is>
          <t>yes</t>
        </is>
      </c>
      <c r="Q48" s="5" t="inlineStr">
        <is>
          <t>—</t>
        </is>
      </c>
    </row>
    <row r="49">
      <c r="A49" s="16" t="inlineStr">
        <is>
          <t>Live</t>
        </is>
      </c>
      <c r="B49" s="5" t="inlineStr">
        <is>
          <t>Friday Night Live PD</t>
        </is>
      </c>
      <c r="C49" s="5" t="inlineStr">
        <is>
          <t>241</t>
        </is>
      </c>
      <c r="D49" s="5" t="inlineStr"/>
      <c r="E49" s="6" t="n">
        <v>0</v>
      </c>
      <c r="F49" s="9" t="n">
        <v>0</v>
      </c>
      <c r="G49" s="5" t="inlineStr"/>
      <c r="H49" s="5" t="inlineStr"/>
      <c r="I49" s="5" t="inlineStr"/>
      <c r="J49" s="6" t="n">
        <v>0</v>
      </c>
      <c r="K49" s="5" t="inlineStr"/>
      <c r="L49" s="5" t="inlineStr"/>
      <c r="M49" s="6" t="n">
        <v>128</v>
      </c>
      <c r="N49" s="6" t="n">
        <v>1</v>
      </c>
      <c r="O49" s="6" t="n">
        <v>0</v>
      </c>
      <c r="P49" s="5" t="inlineStr">
        <is>
          <t>yes</t>
        </is>
      </c>
      <c r="Q49" s="5" t="inlineStr">
        <is>
          <t>—</t>
        </is>
      </c>
    </row>
    <row r="50">
      <c r="A50" s="19" t="inlineStr">
        <is>
          <t>Other</t>
        </is>
      </c>
      <c r="B50" s="5" t="inlineStr">
        <is>
          <t>Monday Getting it Started</t>
        </is>
      </c>
      <c r="C50" s="5" t="inlineStr">
        <is>
          <t>227</t>
        </is>
      </c>
      <c r="D50" s="5" t="inlineStr"/>
      <c r="E50" s="6" t="n">
        <v>0</v>
      </c>
      <c r="F50" s="9" t="n">
        <v>0</v>
      </c>
      <c r="G50" s="5" t="inlineStr"/>
      <c r="H50" s="5" t="inlineStr"/>
      <c r="I50" s="5" t="inlineStr"/>
      <c r="J50" s="6" t="n">
        <v>0</v>
      </c>
      <c r="K50" s="5" t="inlineStr"/>
      <c r="L50" s="5" t="inlineStr"/>
      <c r="M50" s="6" t="n">
        <v>256</v>
      </c>
      <c r="N50" s="6" t="n">
        <v>1</v>
      </c>
      <c r="O50" s="6" t="n">
        <v>0</v>
      </c>
      <c r="P50" s="5" t="inlineStr">
        <is>
          <t>yes</t>
        </is>
      </c>
      <c r="Q50" s="5" t="inlineStr">
        <is>
          <t>—</t>
        </is>
      </c>
    </row>
    <row r="51">
      <c r="A51" s="19" t="inlineStr">
        <is>
          <t>Other</t>
        </is>
      </c>
      <c r="B51" s="5" t="inlineStr">
        <is>
          <t>Saturday Around the Horn After Dark</t>
        </is>
      </c>
      <c r="C51" s="5" t="inlineStr">
        <is>
          <t>262</t>
        </is>
      </c>
      <c r="D51" s="5" t="inlineStr"/>
      <c r="E51" s="6" t="n">
        <v>0</v>
      </c>
      <c r="F51" s="9" t="n">
        <v>0</v>
      </c>
      <c r="G51" s="5" t="inlineStr"/>
      <c r="H51" s="5" t="inlineStr"/>
      <c r="I51" s="5" t="inlineStr"/>
      <c r="J51" s="6" t="n">
        <v>0</v>
      </c>
      <c r="K51" s="5" t="inlineStr"/>
      <c r="L51" s="5" t="inlineStr"/>
      <c r="M51" s="6" t="n">
        <v>128</v>
      </c>
      <c r="N51" s="6" t="n">
        <v>1</v>
      </c>
      <c r="O51" s="6" t="n">
        <v>1</v>
      </c>
      <c r="P51" s="5" t="inlineStr">
        <is>
          <t>yes</t>
        </is>
      </c>
      <c r="Q51" s="5" t="inlineStr">
        <is>
          <t>—</t>
        </is>
      </c>
    </row>
    <row r="52">
      <c r="A52" s="19" t="inlineStr">
        <is>
          <t>Other</t>
        </is>
      </c>
      <c r="B52" s="5" t="inlineStr">
        <is>
          <t>Sunday Morning Markus' Revenge</t>
        </is>
      </c>
      <c r="C52" s="5" t="inlineStr">
        <is>
          <t>245</t>
        </is>
      </c>
      <c r="D52" s="5" t="inlineStr"/>
      <c r="E52" s="6" t="n">
        <v>0</v>
      </c>
      <c r="F52" s="9" t="n">
        <v>0</v>
      </c>
      <c r="G52" s="5" t="inlineStr"/>
      <c r="H52" s="5" t="inlineStr"/>
      <c r="I52" s="5" t="inlineStr"/>
      <c r="J52" s="6" t="n">
        <v>0</v>
      </c>
      <c r="K52" s="5" t="inlineStr"/>
      <c r="L52" s="5" t="inlineStr"/>
      <c r="M52" s="6" t="n">
        <v>128</v>
      </c>
      <c r="N52" s="6" t="n">
        <v>1</v>
      </c>
      <c r="O52" s="6" t="n">
        <v>0</v>
      </c>
      <c r="P52" s="5" t="inlineStr">
        <is>
          <t>yes</t>
        </is>
      </c>
      <c r="Q52" s="5" t="inlineStr">
        <is>
          <t>—</t>
        </is>
      </c>
    </row>
    <row r="53">
      <c r="A53" s="19" t="inlineStr">
        <is>
          <t>Other</t>
        </is>
      </c>
      <c r="B53" s="5" t="inlineStr">
        <is>
          <t>Tuesday Double Rocking Chairs</t>
        </is>
      </c>
      <c r="C53" s="5" t="inlineStr">
        <is>
          <t>230</t>
        </is>
      </c>
      <c r="D53" s="5" t="inlineStr"/>
      <c r="E53" s="6" t="n">
        <v>0</v>
      </c>
      <c r="F53" s="9" t="n">
        <v>0</v>
      </c>
      <c r="G53" s="5" t="inlineStr"/>
      <c r="H53" s="5" t="inlineStr"/>
      <c r="I53" s="5" t="inlineStr"/>
      <c r="J53" s="6" t="n">
        <v>0</v>
      </c>
      <c r="K53" s="5" t="inlineStr"/>
      <c r="L53" s="5" t="inlineStr"/>
      <c r="M53" s="6" t="n">
        <v>128</v>
      </c>
      <c r="N53" s="6" t="n">
        <v>1</v>
      </c>
      <c r="O53" s="6" t="n">
        <v>0</v>
      </c>
      <c r="P53" s="5" t="inlineStr">
        <is>
          <t>yes</t>
        </is>
      </c>
      <c r="Q53" s="5" t="inlineStr">
        <is>
          <t>—</t>
        </is>
      </c>
    </row>
    <row r="54">
      <c r="A54" s="19" t="inlineStr">
        <is>
          <t>Other</t>
        </is>
      </c>
      <c r="B54" s="5" t="inlineStr">
        <is>
          <t>Wednesday Double PD</t>
        </is>
      </c>
      <c r="C54" s="5" t="inlineStr">
        <is>
          <t>234</t>
        </is>
      </c>
      <c r="D54" s="5" t="inlineStr"/>
      <c r="E54" s="6" t="n">
        <v>0</v>
      </c>
      <c r="F54" s="9" t="n">
        <v>0</v>
      </c>
      <c r="G54" s="5" t="inlineStr"/>
      <c r="H54" s="5" t="inlineStr"/>
      <c r="I54" s="5" t="inlineStr"/>
      <c r="J54" s="6" t="n">
        <v>0</v>
      </c>
      <c r="K54" s="5" t="inlineStr"/>
      <c r="L54" s="5" t="inlineStr"/>
      <c r="M54" s="6" t="n">
        <v>256</v>
      </c>
      <c r="N54" s="6" t="n">
        <v>1</v>
      </c>
      <c r="O54" s="6" t="n">
        <v>1</v>
      </c>
      <c r="P54" s="5" t="inlineStr">
        <is>
          <t>yes</t>
        </is>
      </c>
      <c r="Q54" s="5" t="inlineStr">
        <is>
          <t>—</t>
        </is>
      </c>
    </row>
    <row r="55">
      <c r="A55" s="19" t="inlineStr">
        <is>
          <t>Other</t>
        </is>
      </c>
      <c r="B55" s="5" t="inlineStr">
        <is>
          <t>Daily Just Order Pizza PD</t>
        </is>
      </c>
      <c r="C55" s="5" t="inlineStr"/>
      <c r="D55" s="5" t="inlineStr"/>
      <c r="E55" s="6" t="n">
        <v>0</v>
      </c>
      <c r="F55" s="9" t="n">
        <v>0</v>
      </c>
      <c r="G55" s="5" t="inlineStr"/>
      <c r="H55" s="5" t="inlineStr"/>
      <c r="I55" s="5" t="inlineStr"/>
      <c r="J55" s="6" t="n">
        <v>0</v>
      </c>
      <c r="K55" s="5" t="inlineStr"/>
      <c r="L55" s="5" t="inlineStr"/>
      <c r="M55" s="5" t="inlineStr"/>
      <c r="N55" s="6" t="n">
        <v>0</v>
      </c>
      <c r="O55" s="6" t="n">
        <v>0</v>
      </c>
      <c r="P55" s="5" t="inlineStr">
        <is>
          <t>yes</t>
        </is>
      </c>
      <c r="Q55" s="5" t="inlineStr">
        <is>
          <t>—</t>
        </is>
      </c>
    </row>
    <row r="56">
      <c r="A56" s="19" t="inlineStr">
        <is>
          <t>Other</t>
        </is>
      </c>
      <c r="B56" s="5" t="inlineStr">
        <is>
          <t>Daliy Trying To Look Busy PD</t>
        </is>
      </c>
      <c r="C56" s="5" t="inlineStr"/>
      <c r="D56" s="5" t="inlineStr"/>
      <c r="E56" s="6" t="n">
        <v>0</v>
      </c>
      <c r="F56" s="9" t="n">
        <v>0</v>
      </c>
      <c r="G56" s="5" t="inlineStr"/>
      <c r="H56" s="5" t="inlineStr"/>
      <c r="I56" s="5" t="inlineStr"/>
      <c r="J56" s="6" t="n">
        <v>0</v>
      </c>
      <c r="K56" s="5" t="inlineStr"/>
      <c r="L56" s="5" t="inlineStr"/>
      <c r="M56" s="5" t="inlineStr"/>
      <c r="N56" s="6" t="n">
        <v>0</v>
      </c>
      <c r="O56" s="6" t="n">
        <v>0</v>
      </c>
      <c r="P56" s="5" t="inlineStr">
        <is>
          <t>yes</t>
        </is>
      </c>
      <c r="Q56" s="5" t="inlineStr">
        <is>
          <t>—</t>
        </is>
      </c>
    </row>
    <row r="57">
      <c r="A57" s="19" t="inlineStr">
        <is>
          <t>Other</t>
        </is>
      </c>
      <c r="B57" s="5" t="inlineStr">
        <is>
          <t>Laptop 6L Powerplay</t>
        </is>
      </c>
      <c r="C57" s="5" t="inlineStr"/>
      <c r="D57" s="5" t="inlineStr"/>
      <c r="E57" s="6" t="n">
        <v>0</v>
      </c>
      <c r="F57" s="9" t="n">
        <v>0</v>
      </c>
      <c r="G57" s="5" t="inlineStr"/>
      <c r="H57" s="5" t="inlineStr"/>
      <c r="I57" s="5" t="inlineStr"/>
      <c r="J57" s="6" t="n">
        <v>0</v>
      </c>
      <c r="K57" s="5" t="inlineStr"/>
      <c r="L57" s="5" t="inlineStr"/>
      <c r="M57" s="5" t="inlineStr"/>
      <c r="N57" s="6" t="n">
        <v>0</v>
      </c>
      <c r="O57" s="6" t="n">
        <v>0</v>
      </c>
      <c r="P57" s="5" t="inlineStr">
        <is>
          <t>yes</t>
        </is>
      </c>
      <c r="Q57" s="5" t="inlineStr">
        <is>
          <t>—</t>
        </is>
      </c>
    </row>
    <row r="58">
      <c r="A58" s="15" t="inlineStr">
        <is>
          <t>Open</t>
        </is>
      </c>
      <c r="B58" s="5" t="inlineStr">
        <is>
          <t>PD Quick</t>
        </is>
      </c>
      <c r="C58" s="5" t="inlineStr"/>
      <c r="D58" s="5" t="inlineStr"/>
      <c r="E58" s="6" t="n">
        <v>0</v>
      </c>
      <c r="F58" s="9" t="n">
        <v>0</v>
      </c>
      <c r="G58" s="5" t="inlineStr"/>
      <c r="H58" s="5" t="inlineStr"/>
      <c r="I58" s="5" t="inlineStr"/>
      <c r="J58" s="6" t="n">
        <v>0</v>
      </c>
      <c r="K58" s="5" t="inlineStr"/>
      <c r="L58" s="5" t="inlineStr">
        <is>
          <t>40-105</t>
        </is>
      </c>
      <c r="M58" s="6" t="n">
        <v>16</v>
      </c>
      <c r="N58" s="6" t="n">
        <v>0</v>
      </c>
      <c r="O58" s="6" t="n">
        <v>0</v>
      </c>
      <c r="P58" s="5" t="inlineStr">
        <is>
          <t>yes</t>
        </is>
      </c>
      <c r="Q58" s="5" t="inlineStr">
        <is>
          <t>—</t>
        </is>
      </c>
    </row>
    <row r="59">
      <c r="A59" s="19" t="inlineStr">
        <is>
          <t>Other</t>
        </is>
      </c>
      <c r="B59" s="5" t="inlineStr">
        <is>
          <t>Laptophound's Daily Treasure Trove Late Leisure Lounge</t>
        </is>
      </c>
      <c r="C59" s="5" t="inlineStr">
        <is>
          <t>218</t>
        </is>
      </c>
      <c r="D59" s="5" t="inlineStr"/>
      <c r="E59" s="6" t="n">
        <v>0</v>
      </c>
      <c r="F59" s="9" t="n">
        <v>0</v>
      </c>
      <c r="G59" s="5" t="inlineStr"/>
      <c r="H59" s="5" t="inlineStr"/>
      <c r="I59" s="5" t="inlineStr"/>
      <c r="J59" s="6" t="n">
        <v>0</v>
      </c>
      <c r="K59" s="5" t="inlineStr"/>
      <c r="L59" s="5" t="inlineStr"/>
      <c r="M59" s="6" t="n">
        <v>128</v>
      </c>
      <c r="N59" s="6" t="n">
        <v>56</v>
      </c>
      <c r="O59" s="6" t="n">
        <v>202</v>
      </c>
      <c r="P59" s="10" t="inlineStr">
        <is>
          <t>retired — slot 218 is now "Laptophound's Daily 6L Power Play"</t>
        </is>
      </c>
      <c r="Q59" s="5" t="inlineStr">
        <is>
          <t>—</t>
        </is>
      </c>
    </row>
    <row r="60">
      <c r="A60" s="19" t="inlineStr">
        <is>
          <t>Other</t>
        </is>
      </c>
      <c r="B60" s="5" t="inlineStr">
        <is>
          <t>Daily Double Snack Time</t>
        </is>
      </c>
      <c r="C60" s="5" t="inlineStr">
        <is>
          <t>212</t>
        </is>
      </c>
      <c r="D60" s="5" t="inlineStr"/>
      <c r="E60" s="6" t="n">
        <v>0</v>
      </c>
      <c r="F60" s="9" t="n">
        <v>0</v>
      </c>
      <c r="G60" s="5" t="inlineStr"/>
      <c r="H60" s="5" t="inlineStr"/>
      <c r="I60" s="5" t="inlineStr"/>
      <c r="J60" s="6" t="n">
        <v>0</v>
      </c>
      <c r="K60" s="5" t="inlineStr"/>
      <c r="L60" s="5" t="inlineStr"/>
      <c r="M60" s="6" t="n">
        <v>64</v>
      </c>
      <c r="N60" s="6" t="n">
        <v>2</v>
      </c>
      <c r="O60" s="6" t="n">
        <v>16</v>
      </c>
      <c r="P60" s="10" t="inlineStr">
        <is>
          <t>retired — slot 212 is now "Daily Snack Time on the Ladder"</t>
        </is>
      </c>
      <c r="Q60" s="5" t="inlineStr">
        <is>
          <t>—</t>
        </is>
      </c>
    </row>
    <row r="61">
      <c r="A61" s="19" t="inlineStr">
        <is>
          <t>Other</t>
        </is>
      </c>
      <c r="B61" s="5" t="inlineStr">
        <is>
          <t>Daily Up Late with Rich</t>
        </is>
      </c>
      <c r="C61" s="5" t="inlineStr">
        <is>
          <t>225</t>
        </is>
      </c>
      <c r="D61" s="5" t="inlineStr"/>
      <c r="E61" s="6" t="n">
        <v>0</v>
      </c>
      <c r="F61" s="9" t="n">
        <v>0</v>
      </c>
      <c r="G61" s="5" t="inlineStr"/>
      <c r="H61" s="5" t="inlineStr"/>
      <c r="I61" s="5" t="inlineStr"/>
      <c r="J61" s="6" t="n">
        <v>0</v>
      </c>
      <c r="K61" s="5" t="inlineStr"/>
      <c r="L61" s="5" t="inlineStr"/>
      <c r="M61" s="6" t="n">
        <v>64</v>
      </c>
      <c r="N61" s="6" t="n">
        <v>2</v>
      </c>
      <c r="O61" s="6" t="n">
        <v>7</v>
      </c>
      <c r="P61" s="10" t="inlineStr">
        <is>
          <t>retired — slot 225 is now "Daily Up Late with Rich - LAD"</t>
        </is>
      </c>
      <c r="Q61" s="5" t="inlineStr">
        <is>
          <t>—</t>
        </is>
      </c>
    </row>
    <row r="62">
      <c r="A62" s="19" t="inlineStr">
        <is>
          <t>Other</t>
        </is>
      </c>
      <c r="B62" s="5" t="inlineStr">
        <is>
          <t>Daily Just Order Pizza for Dinner</t>
        </is>
      </c>
      <c r="C62" s="5" t="inlineStr">
        <is>
          <t>217</t>
        </is>
      </c>
      <c r="D62" s="5" t="inlineStr"/>
      <c r="E62" s="6" t="n">
        <v>0</v>
      </c>
      <c r="F62" s="9" t="n">
        <v>0</v>
      </c>
      <c r="G62" s="5" t="inlineStr"/>
      <c r="H62" s="5" t="inlineStr"/>
      <c r="I62" s="5" t="inlineStr"/>
      <c r="J62" s="6" t="n">
        <v>0</v>
      </c>
      <c r="K62" s="5" t="inlineStr"/>
      <c r="L62" s="5" t="inlineStr"/>
      <c r="M62" s="6" t="n">
        <v>64</v>
      </c>
      <c r="N62" s="6" t="n">
        <v>1</v>
      </c>
      <c r="O62" s="6" t="n">
        <v>0</v>
      </c>
      <c r="P62" s="10" t="inlineStr">
        <is>
          <t>retired — slot 217 is now "Daily Just Order Pizza for Dinner - D&amp;G"</t>
        </is>
      </c>
      <c r="Q62" s="5" t="inlineStr">
        <is>
          <t>—</t>
        </is>
      </c>
    </row>
    <row r="63">
      <c r="A63" s="15" t="inlineStr">
        <is>
          <t>Open</t>
        </is>
      </c>
      <c r="B63" s="5" t="inlineStr">
        <is>
          <t>Laptophound's Daily Deadball Leisure Lounge</t>
        </is>
      </c>
      <c r="C63" s="5" t="inlineStr">
        <is>
          <t>207</t>
        </is>
      </c>
      <c r="D63" s="5" t="inlineStr"/>
      <c r="E63" s="6" t="n">
        <v>0</v>
      </c>
      <c r="F63" s="9" t="n">
        <v>0</v>
      </c>
      <c r="G63" s="5" t="inlineStr"/>
      <c r="H63" s="5" t="inlineStr"/>
      <c r="I63" s="5" t="inlineStr"/>
      <c r="J63" s="6" t="n">
        <v>0</v>
      </c>
      <c r="K63" s="5" t="inlineStr"/>
      <c r="L63" s="5" t="inlineStr"/>
      <c r="M63" s="6" t="n">
        <v>128</v>
      </c>
      <c r="N63" s="6" t="n">
        <v>1</v>
      </c>
      <c r="O63" s="6" t="n">
        <v>1</v>
      </c>
      <c r="P63" s="10" t="inlineStr">
        <is>
          <t>retired — slot 207 is now "Laptophound's Daily 5L Deadball"</t>
        </is>
      </c>
      <c r="Q63" s="5" t="inlineStr">
        <is>
          <t>—</t>
        </is>
      </c>
    </row>
    <row r="64">
      <c r="A64" s="19" t="inlineStr">
        <is>
          <t>Other</t>
        </is>
      </c>
      <c r="B64" s="5" t="inlineStr">
        <is>
          <t>PTCS 6 Championship - PD Daily</t>
        </is>
      </c>
      <c r="C64" s="5" t="inlineStr"/>
      <c r="D64" s="5" t="inlineStr">
        <is>
          <t>PTCS 6 Championship</t>
        </is>
      </c>
      <c r="E64" s="6" t="n">
        <v>0</v>
      </c>
      <c r="F64" s="9" t="n">
        <v>0</v>
      </c>
      <c r="G64" s="5" t="inlineStr"/>
      <c r="H64" s="5" t="inlineStr"/>
      <c r="I64" s="5" t="inlineStr"/>
      <c r="J64" s="6" t="n">
        <v>0</v>
      </c>
      <c r="K64" s="5" t="inlineStr"/>
      <c r="L64" s="5" t="inlineStr"/>
      <c r="M64" s="5" t="inlineStr"/>
      <c r="N64" s="6" t="n">
        <v>0</v>
      </c>
      <c r="O64" s="6" t="n">
        <v>0</v>
      </c>
      <c r="P64" s="10" t="inlineStr">
        <is>
          <t>duplicate listing — exports counted on "PTCS 6 Championship - Bronze"</t>
        </is>
      </c>
      <c r="Q64" s="5" t="inlineStr">
        <is>
          <t>—</t>
        </is>
      </c>
    </row>
    <row r="65">
      <c r="A65" s="19" t="inlineStr">
        <is>
          <t>Other</t>
        </is>
      </c>
      <c r="B65" s="5" t="inlineStr">
        <is>
          <t>PTCS 6 Championship - PD Weekly</t>
        </is>
      </c>
      <c r="C65" s="5" t="inlineStr"/>
      <c r="D65" s="5" t="inlineStr">
        <is>
          <t>PTCS 6 Championship</t>
        </is>
      </c>
      <c r="E65" s="6" t="n">
        <v>0</v>
      </c>
      <c r="F65" s="9" t="n">
        <v>0</v>
      </c>
      <c r="G65" s="5" t="inlineStr"/>
      <c r="H65" s="5" t="inlineStr"/>
      <c r="I65" s="5" t="inlineStr"/>
      <c r="J65" s="6" t="n">
        <v>0</v>
      </c>
      <c r="K65" s="5" t="inlineStr"/>
      <c r="L65" s="5" t="inlineStr"/>
      <c r="M65" s="5" t="inlineStr"/>
      <c r="N65" s="6" t="n">
        <v>0</v>
      </c>
      <c r="O65" s="6" t="n">
        <v>0</v>
      </c>
      <c r="P65" s="10" t="inlineStr">
        <is>
          <t>duplicate listing — exports counted on "PTCS 6 Championship - Bronze"</t>
        </is>
      </c>
      <c r="Q65" s="5" t="inlineStr">
        <is>
          <t>—</t>
        </is>
      </c>
    </row>
  </sheetData>
  <autoFilter ref="A4:Q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Coverage summary</t>
        </is>
      </c>
    </row>
    <row r="2">
      <c r="A2" s="2" t="inlineStr">
        <is>
          <t>As of 2026-09-07. OOTP only exports about the last 7 days, so any run older than that is gone for good.</t>
        </is>
      </c>
    </row>
    <row r="4">
      <c r="A4" s="20" t="inlineStr">
        <is>
          <t>Tournaments listed</t>
        </is>
      </c>
      <c r="B4" s="21">
        <f>COUNTA(Tournaments!B5:B138)</f>
        <v/>
      </c>
    </row>
    <row r="5">
      <c r="A5" s="22" t="inlineStr">
        <is>
          <t xml:space="preserve">   …still running</t>
        </is>
      </c>
      <c r="B5" s="21">
        <f>COUNTIF(Tournaments!P5:P138,"yes")</f>
        <v/>
      </c>
    </row>
    <row r="6">
      <c r="A6" s="22" t="inlineStr">
        <is>
          <t xml:space="preserve">   …with at least one export</t>
        </is>
      </c>
      <c r="B6" s="21">
        <f>COUNTIF(Tournaments!F5:F138,"&gt;0")</f>
        <v/>
      </c>
    </row>
    <row r="7">
      <c r="A7" s="22" t="inlineStr">
        <is>
          <t xml:space="preserve">   …with an export inside 7 days</t>
        </is>
      </c>
      <c r="B7" s="21">
        <f>COUNTIFS(Tournaments!F5:F138,"&gt;0",Tournaments!I5:I138,"&lt;=7")</f>
        <v/>
      </c>
    </row>
    <row r="8">
      <c r="A8" s="20" t="inlineStr">
        <is>
          <t>Perfect Drafts listed</t>
        </is>
      </c>
      <c r="B8" s="21">
        <f>COUNTA('Perfect Drafts'!B5:B65)</f>
        <v/>
      </c>
    </row>
    <row r="9">
      <c r="A9" s="22" t="inlineStr">
        <is>
          <t xml:space="preserve">   …still running</t>
        </is>
      </c>
      <c r="B9" s="21">
        <f>COUNTIF('Perfect Drafts'!P5:P65,"yes")</f>
        <v/>
      </c>
    </row>
    <row r="10">
      <c r="A10" s="22" t="inlineStr">
        <is>
          <t xml:space="preserve">   …with at least one export</t>
        </is>
      </c>
      <c r="B10" s="21">
        <f>COUNTIF('Perfect Drafts'!F5:F65,"&gt;0")</f>
        <v/>
      </c>
    </row>
    <row r="11">
      <c r="A11" s="20" t="inlineStr"/>
    </row>
    <row r="12">
      <c r="A12" s="20" t="inlineStr">
        <is>
          <t>Export files on disk</t>
        </is>
      </c>
      <c r="B12" s="21">
        <f>SUM(Tournaments!F5:F138)+SUM('Perfect Drafts'!F5:F65)</f>
        <v/>
      </c>
    </row>
    <row r="13">
      <c r="A13" s="20" t="inlineStr">
        <is>
          <t>Runs imported to the database</t>
        </is>
      </c>
      <c r="B13" s="21">
        <f>SUM(Tournaments!E5:E138)+SUM('Perfect Drafts'!E5:E65)</f>
        <v/>
      </c>
    </row>
    <row r="14">
      <c r="A14" s="20" t="inlineStr">
        <is>
          <t>Runs still grabbable (last 7 days)</t>
        </is>
      </c>
      <c r="B14" s="21">
        <f>SUM(Tournaments!J5:J138)+SUM('Perfect Drafts'!J5:J65)</f>
        <v/>
      </c>
    </row>
    <row r="15">
      <c r="A15" s="23" t="inlineStr"/>
    </row>
    <row r="16">
      <c r="A16" s="24" t="inlineStr">
        <is>
          <t>Column notes</t>
        </is>
      </c>
    </row>
    <row r="17">
      <c r="A17" s="23" t="inlineStr">
        <is>
          <t>• PT id — the first three digits of an event id. A run is &lt;PT id&gt;&lt;4-digit run&gt;, so tournament 185 run 151 is event 1850151.</t>
        </is>
      </c>
    </row>
    <row r="18">
      <c r="A18" s="23" t="inlineStr">
        <is>
          <t>• Still running? — OOTP REUSES an id slot when a tournament is renamed. Slot 218 was Treasure Trove until Aug 6 and is 6L Power Play now. A row naming a successor is retired: its runs cannot be exported and those ids belong to the new event.</t>
        </is>
      </c>
    </row>
    <row r="19">
      <c r="A19" s="23" t="inlineStr">
        <is>
          <t>• Runs on file vs Files — "Runs on file" is what the database imported, "Files" is what sits in Archive/Completed. A gap means pnpm import:observed has not been run.</t>
        </is>
      </c>
    </row>
    <row r="20">
      <c r="A20" s="23" t="inlineStr">
        <is>
          <t>• Days old — age of your newest export. Over 7 and the older runs are unrecoverable.</t>
        </is>
      </c>
    </row>
    <row r="21">
      <c r="A21" s="23" t="inlineStr">
        <is>
          <t>• Event ids still grabbable — from each event's own id ladder and cadence in your results history. Blank means you have everything, the event is retired, or there is no ladder to compute from.</t>
        </is>
      </c>
    </row>
    <row r="22">
      <c r="A22" s="23" t="inlineStr">
        <is>
          <t>• Run numbering — the filer names files by the id you type; where that counter disagrees with the PT run number the row says MISMATCH and the missing-run maths is unreliable.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2026-09-07T02:17:27Z</dcterms:created>
  <dcterms:modified xmlns:dcterms="http://purl.org/dc/terms/" xmlns:xsi="http://www.w3.org/2001/XMLSchema-instance" xsi:type="dcterms:W3CDTF">2026-09-07T02:17:27Z</dcterms:modified>
</cp:coreProperties>
</file>