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ploaded" sheetId="1" state="visible" r:id="rId3"/>
    <sheet name="Events played" sheetId="2" state="visible" r:id="rId4"/>
    <sheet name="Summary" sheetId="3" state="visible" r:id="rId5"/>
  </sheets>
  <definedNames>
    <definedName function="false" hidden="true" localSheetId="1" name="_xlnm._FilterDatabase" vbProcedure="false">'Events played'!$A$4:$L$108</definedName>
    <definedName function="false" hidden="true" localSheetId="0" name="_xlnm._FilterDatabase" vbProcedure="false">Uploaded!$A$4:$M$48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<sst xmlns="http://schemas.openxmlformats.org/spreadsheetml/2006/main" count="921" uniqueCount="323">
  <si>
    <t xml:space="preserve">Tournament stat exports already uploaded</t>
  </si>
  <si>
    <t xml:space="preserve">One row per series. "Runs imported" is what the database has; "Files on disk" is what sits in Archive/Completed. A mismatch means pnpm import:observed has not been run since the last drop.</t>
  </si>
  <si>
    <t xml:space="preserve">Series (file prefix)</t>
  </si>
  <si>
    <t xml:space="preserve">Tournament</t>
  </si>
  <si>
    <t xml:space="preserve">Status</t>
  </si>
  <si>
    <t xml:space="preserve">Runs imported</t>
  </si>
  <si>
    <t xml:space="preserve">Files on disk</t>
  </si>
  <si>
    <t xml:space="preserve">Run numbers</t>
  </si>
  <si>
    <t xml:space="preserve">Gaps in range</t>
  </si>
  <si>
    <t xml:space="preserve">Cards measured</t>
  </si>
  <si>
    <t xml:space="preserve">Pitchers</t>
  </si>
  <si>
    <t xml:space="preserve">Total PA</t>
  </si>
  <si>
    <t xml:space="preserve">Total IP</t>
  </si>
  <si>
    <t xml:space="preserve">Card cap</t>
  </si>
  <si>
    <t xml:space="preserve">Field</t>
  </si>
  <si>
    <t xml:space="preserve">diamondsforever</t>
  </si>
  <si>
    <t xml:space="preserve">Daily Diamonds are Forever</t>
  </si>
  <si>
    <t xml:space="preserve">imported</t>
  </si>
  <si>
    <t xml:space="preserve">79-158</t>
  </si>
  <si>
    <t xml:space="preserve">40-99</t>
  </si>
  <si>
    <t xml:space="preserve">diamondslotsdaily</t>
  </si>
  <si>
    <t xml:space="preserve">Daily Diamond Slots</t>
  </si>
  <si>
    <t xml:space="preserve">86-165</t>
  </si>
  <si>
    <t xml:space="preserve">diamondheart</t>
  </si>
  <si>
    <t xml:space="preserve">Daily Diamond Heart</t>
  </si>
  <si>
    <t xml:space="preserve">68-150</t>
  </si>
  <si>
    <t xml:space="preserve">lowdiamonddaily</t>
  </si>
  <si>
    <t xml:space="preserve">Daily Low Diamond</t>
  </si>
  <si>
    <t xml:space="preserve">82-160</t>
  </si>
  <si>
    <t xml:space="preserve">diamonddaily</t>
  </si>
  <si>
    <t xml:space="preserve">Daily Diamond</t>
  </si>
  <si>
    <t xml:space="preserve">82-119</t>
  </si>
  <si>
    <t xml:space="preserve">goldslotsdaily</t>
  </si>
  <si>
    <t xml:space="preserve">Daily Gold Slots</t>
  </si>
  <si>
    <t xml:space="preserve">120-167</t>
  </si>
  <si>
    <t xml:space="preserve">40-89</t>
  </si>
  <si>
    <t xml:space="preserve">earlygold</t>
  </si>
  <si>
    <t xml:space="preserve">Daily Early Gold</t>
  </si>
  <si>
    <t xml:space="preserve">125-167</t>
  </si>
  <si>
    <t xml:space="preserve">goldenheart</t>
  </si>
  <si>
    <t xml:space="preserve">Daily Golden Heart</t>
  </si>
  <si>
    <t xml:space="preserve">107-146</t>
  </si>
  <si>
    <t xml:space="preserve">latesilver</t>
  </si>
  <si>
    <t xml:space="preserve">Daily Late Silver</t>
  </si>
  <si>
    <t xml:space="preserve">134-167</t>
  </si>
  <si>
    <t xml:space="preserve">40-79</t>
  </si>
  <si>
    <t xml:space="preserve">livediamonddaily</t>
  </si>
  <si>
    <t xml:space="preserve">Daily Live Diamond</t>
  </si>
  <si>
    <t xml:space="preserve">85-108</t>
  </si>
  <si>
    <t xml:space="preserve">lgretro</t>
  </si>
  <si>
    <t xml:space="preserve">Daily Low Gold Retrospectus</t>
  </si>
  <si>
    <t xml:space="preserve">115-147</t>
  </si>
  <si>
    <t xml:space="preserve">40-84</t>
  </si>
  <si>
    <t xml:space="preserve">goldfather</t>
  </si>
  <si>
    <t xml:space="preserve">Daily Goldfather II</t>
  </si>
  <si>
    <t xml:space="preserve">123-130</t>
  </si>
  <si>
    <t xml:space="preserve">6lpowerplay</t>
  </si>
  <si>
    <t xml:space="preserve">Laptophound's Daily 6L Power Play</t>
  </si>
  <si>
    <t xml:space="preserve">161-167</t>
  </si>
  <si>
    <t xml:space="preserve">diamondandfriends</t>
  </si>
  <si>
    <t xml:space="preserve">Daily Diamond &amp; Friends Slots</t>
  </si>
  <si>
    <t xml:space="preserve">12-46</t>
  </si>
  <si>
    <t xml:space="preserve">diamondquick</t>
  </si>
  <si>
    <t xml:space="preserve">Diamond Quick</t>
  </si>
  <si>
    <t xml:space="preserve">1690-1748</t>
  </si>
  <si>
    <t xml:space="preserve">silverheart</t>
  </si>
  <si>
    <t xml:space="preserve">Daily Silver Heart</t>
  </si>
  <si>
    <t xml:space="preserve">117-147</t>
  </si>
  <si>
    <t xml:space="preserve">5ldeadball</t>
  </si>
  <si>
    <t xml:space="preserve">Laptophound's Daily 5L Deadball</t>
  </si>
  <si>
    <t xml:space="preserve">162-167</t>
  </si>
  <si>
    <t xml:space="preserve">silverslamboree</t>
  </si>
  <si>
    <t xml:space="preserve">Daily Silver Slamboree</t>
  </si>
  <si>
    <t xml:space="preserve">130-136</t>
  </si>
  <si>
    <t xml:space="preserve">silverslotsdaily</t>
  </si>
  <si>
    <t xml:space="preserve">Daily Silver Slots</t>
  </si>
  <si>
    <t xml:space="preserve">imported 4 of 5 files</t>
  </si>
  <si>
    <t xml:space="preserve">139-169</t>
  </si>
  <si>
    <t xml:space="preserve">bronze10to50</t>
  </si>
  <si>
    <t xml:space="preserve">Daily Bronze 1910-59</t>
  </si>
  <si>
    <t xml:space="preserve">157-162</t>
  </si>
  <si>
    <t xml:space="preserve">40-69</t>
  </si>
  <si>
    <t xml:space="preserve">diamondweekly</t>
  </si>
  <si>
    <t xml:space="preserve">Wednesday Ice to See You</t>
  </si>
  <si>
    <t xml:space="preserve">13-23</t>
  </si>
  <si>
    <t xml:space="preserve">goldenchildhood</t>
  </si>
  <si>
    <t xml:space="preserve">Daily Sporer's Golden Childhood</t>
  </si>
  <si>
    <t xml:space="preserve">46-72</t>
  </si>
  <si>
    <t xml:space="preserve">1950tonow</t>
  </si>
  <si>
    <t xml:space="preserve">Wednesday 1950 to Now</t>
  </si>
  <si>
    <t xml:space="preserve">15-23</t>
  </si>
  <si>
    <t xml:space="preserve">bronzeonlycapdaily</t>
  </si>
  <si>
    <t xml:space="preserve">Daily Bronze Only Cap</t>
  </si>
  <si>
    <t xml:space="preserve">166-167</t>
  </si>
  <si>
    <t xml:space="preserve">bronzeootp</t>
  </si>
  <si>
    <t xml:space="preserve">Daily Bronze OOTP Era</t>
  </si>
  <si>
    <t xml:space="preserve">147-150</t>
  </si>
  <si>
    <t xml:space="preserve">highironfloorgoldceilingweekly</t>
  </si>
  <si>
    <t xml:space="preserve">Sunday High Iron Floor and Gold Ceiling</t>
  </si>
  <si>
    <t xml:space="preserve">19-23</t>
  </si>
  <si>
    <t xml:space="preserve">50-89</t>
  </si>
  <si>
    <t xml:space="preserve">openslotsdaily</t>
  </si>
  <si>
    <t xml:space="preserve">Daily Open Slots</t>
  </si>
  <si>
    <t xml:space="preserve">163-167</t>
  </si>
  <si>
    <t xml:space="preserve">openslotsweekly</t>
  </si>
  <si>
    <t xml:space="preserve">Sunday Open Slots</t>
  </si>
  <si>
    <t xml:space="preserve">17-19</t>
  </si>
  <si>
    <t xml:space="preserve">openweekly</t>
  </si>
  <si>
    <t xml:space="preserve">Sunday Open Main Event</t>
  </si>
  <si>
    <t xml:space="preserve">11-23</t>
  </si>
  <si>
    <t xml:space="preserve">silverandfriends</t>
  </si>
  <si>
    <t xml:space="preserve">Daily Silver &amp; Friends Deadball Slots</t>
  </si>
  <si>
    <t xml:space="preserve">65-66</t>
  </si>
  <si>
    <t xml:space="preserve">bronzeptcs3</t>
  </si>
  <si>
    <t xml:space="preserve">Daily Bronze PTCS 3 Replay Slots</t>
  </si>
  <si>
    <t xml:space="preserve">89</t>
  </si>
  <si>
    <t xml:space="preserve">bronzesequel</t>
  </si>
  <si>
    <t xml:space="preserve">— not linked —</t>
  </si>
  <si>
    <t xml:space="preserve">156</t>
  </si>
  <si>
    <t xml:space="preserve">bronzeweekly</t>
  </si>
  <si>
    <t xml:space="preserve">Monday Up And At Them Bronze</t>
  </si>
  <si>
    <t xml:space="preserve">23</t>
  </si>
  <si>
    <t xml:space="preserve">c4q4</t>
  </si>
  <si>
    <t xml:space="preserve">Thursday CWhit's Cap Challenge</t>
  </si>
  <si>
    <t xml:space="preserve">16</t>
  </si>
  <si>
    <t xml:space="preserve">deadballweekly</t>
  </si>
  <si>
    <t xml:space="preserve">Wednesday Night of the Living Deadball</t>
  </si>
  <si>
    <t xml:space="preserve">diamondvariety</t>
  </si>
  <si>
    <t xml:space="preserve">Saturday Diamond Variety</t>
  </si>
  <si>
    <t xml:space="preserve">13</t>
  </si>
  <si>
    <t xml:space="preserve">goldfloorcapweekly</t>
  </si>
  <si>
    <t xml:space="preserve">Monday Gold Floor Cap</t>
  </si>
  <si>
    <t xml:space="preserve">19</t>
  </si>
  <si>
    <t xml:space="preserve">80-105</t>
  </si>
  <si>
    <t xml:space="preserve">goldweekly</t>
  </si>
  <si>
    <t xml:space="preserve">Thursday Night Gold Rush</t>
  </si>
  <si>
    <t xml:space="preserve">liveopendaily</t>
  </si>
  <si>
    <t xml:space="preserve">Daily Live Open</t>
  </si>
  <si>
    <t xml:space="preserve">88</t>
  </si>
  <si>
    <t xml:space="preserve">40-100</t>
  </si>
  <si>
    <t xml:space="preserve">livesilverdaily</t>
  </si>
  <si>
    <t xml:space="preserve">Daily Live Silver</t>
  </si>
  <si>
    <t xml:space="preserve">139</t>
  </si>
  <si>
    <t xml:space="preserve">sandlot</t>
  </si>
  <si>
    <t xml:space="preserve">Tuesday Sporer's Sandlot</t>
  </si>
  <si>
    <t xml:space="preserve">60-89</t>
  </si>
  <si>
    <t xml:space="preserve">silverweekly</t>
  </si>
  <si>
    <t xml:space="preserve">Thursday Silver Spectacular</t>
  </si>
  <si>
    <t xml:space="preserve">upto1969weekly</t>
  </si>
  <si>
    <t xml:space="preserve">Tuesday Up To 1969</t>
  </si>
  <si>
    <t xml:space="preserve">strugglingsleep</t>
  </si>
  <si>
    <t xml:space="preserve">NOT IMPORTED — run pnpm import:observed</t>
  </si>
  <si>
    <t xml:space="preserve">169</t>
  </si>
  <si>
    <t xml:space="preserve">TOTAL</t>
  </si>
  <si>
    <t xml:space="preserve">Every event you have entered — and whether you have stats for it</t>
  </si>
  <si>
    <t xml:space="preserve">Sorted with the uncovered events first, then by how often you play them. This is the export priority list. Source: my_results (1,189 recorded entries) matched against the tournament catalog.</t>
  </si>
  <si>
    <t xml:space="preserve">Event</t>
  </si>
  <si>
    <t xml:space="preserve">Type</t>
  </si>
  <si>
    <t xml:space="preserve">Stats on file?</t>
  </si>
  <si>
    <t xml:space="preserve">Series</t>
  </si>
  <si>
    <t xml:space="preserve">Runs on file</t>
  </si>
  <si>
    <t xml:space="preserve">My entries</t>
  </si>
  <si>
    <t xml:space="preserve">My points</t>
  </si>
  <si>
    <t xml:space="preserve">Best finish</t>
  </si>
  <si>
    <t xml:space="preserve">Last played</t>
  </si>
  <si>
    <t xml:space="preserve">PTCS categories</t>
  </si>
  <si>
    <t xml:space="preserve">Catalog match</t>
  </si>
  <si>
    <t xml:space="preserve">Daily Trying to Look Busy - D&amp;G</t>
  </si>
  <si>
    <t xml:space="preserve">Perfect Draft</t>
  </si>
  <si>
    <t xml:space="preserve">NO</t>
  </si>
  <si>
    <t xml:space="preserve">2026-08-23</t>
  </si>
  <si>
    <t xml:space="preserve">PD Daily</t>
  </si>
  <si>
    <t xml:space="preserve">not in the databotai catalog</t>
  </si>
  <si>
    <t xml:space="preserve">Laptophound's Daily Treasure Trove Late Leisure Lounge</t>
  </si>
  <si>
    <t xml:space="preserve">2026-08-06</t>
  </si>
  <si>
    <t xml:space="preserve">Daily Just Order Pizza for Dinner - D&amp;G</t>
  </si>
  <si>
    <t xml:space="preserve">Daily Live All Night</t>
  </si>
  <si>
    <t xml:space="preserve">2026-08-07</t>
  </si>
  <si>
    <t xml:space="preserve">Daily Don't Forget to Pick up the Kids - Live</t>
  </si>
  <si>
    <t xml:space="preserve">2026-08-05</t>
  </si>
  <si>
    <t xml:space="preserve">Daily Live Speed Run</t>
  </si>
  <si>
    <t xml:space="preserve">Daily OOTP and Chill</t>
  </si>
  <si>
    <t xml:space="preserve">2026-08-24</t>
  </si>
  <si>
    <t xml:space="preserve">Daily Nocturnal Mixed Bag</t>
  </si>
  <si>
    <t xml:space="preserve">2026-08-19</t>
  </si>
  <si>
    <t xml:space="preserve">Daily Tuck in Time</t>
  </si>
  <si>
    <t xml:space="preserve">2026-07-25</t>
  </si>
  <si>
    <t xml:space="preserve">Daily Live Breakfast</t>
  </si>
  <si>
    <t xml:space="preserve">Daily Up Late with Rich - LAD</t>
  </si>
  <si>
    <t xml:space="preserve">Daily Struggling to Sleep - DBL</t>
  </si>
  <si>
    <t xml:space="preserve">2026-08-18</t>
  </si>
  <si>
    <t xml:space="preserve">Daily Rise and Shine</t>
  </si>
  <si>
    <t xml:space="preserve">2026-07-18</t>
  </si>
  <si>
    <t xml:space="preserve">Daily Historical Primetime</t>
  </si>
  <si>
    <t xml:space="preserve">Daily Good Orderly Evening</t>
  </si>
  <si>
    <t xml:space="preserve">2026-08-10</t>
  </si>
  <si>
    <t xml:space="preserve">Daily Bronze The Sequel</t>
  </si>
  <si>
    <t xml:space="preserve">2026-08-21</t>
  </si>
  <si>
    <t xml:space="preserve">Bronze</t>
  </si>
  <si>
    <t xml:space="preserve">Dr. Dynastic's Doc Rock Derby</t>
  </si>
  <si>
    <t xml:space="preserve">2026-08-17</t>
  </si>
  <si>
    <t xml:space="preserve">exact</t>
  </si>
  <si>
    <t xml:space="preserve">Daily They've Gone to Plaid</t>
  </si>
  <si>
    <t xml:space="preserve">2026-07-20</t>
  </si>
  <si>
    <t xml:space="preserve">Daily Morning Mixed Bag</t>
  </si>
  <si>
    <t xml:space="preserve">2026-08-11</t>
  </si>
  <si>
    <t xml:space="preserve">Daily Hitters First</t>
  </si>
  <si>
    <t xml:space="preserve">Sunday PD Main Event</t>
  </si>
  <si>
    <t xml:space="preserve">2026-08-16</t>
  </si>
  <si>
    <t xml:space="preserve">PD Weekly</t>
  </si>
  <si>
    <t xml:space="preserve">Daily Low Bronze</t>
  </si>
  <si>
    <t xml:space="preserve">2026-08-22</t>
  </si>
  <si>
    <t xml:space="preserve">TWIPT Saturday Showdown</t>
  </si>
  <si>
    <t xml:space="preserve">2026-08-15</t>
  </si>
  <si>
    <t xml:space="preserve">Daily Return of the Bronze</t>
  </si>
  <si>
    <t xml:space="preserve">2026-08-20</t>
  </si>
  <si>
    <t xml:space="preserve">Daily Evening Mixed Bag</t>
  </si>
  <si>
    <t xml:space="preserve">2026-06-22</t>
  </si>
  <si>
    <t xml:space="preserve">Tuesday Evening Adrenaline Rush</t>
  </si>
  <si>
    <t xml:space="preserve">Friday Draft About Nothing</t>
  </si>
  <si>
    <t xml:space="preserve">Sunday Up and Down the Ladder</t>
  </si>
  <si>
    <t xml:space="preserve">Daily Double Espresso Morning</t>
  </si>
  <si>
    <t xml:space="preserve">2026-05-28</t>
  </si>
  <si>
    <t xml:space="preserve">Monday Wonky Historical Slots</t>
  </si>
  <si>
    <t xml:space="preserve">Gold,Cap</t>
  </si>
  <si>
    <t xml:space="preserve">Thursday Overnight Under the Covers</t>
  </si>
  <si>
    <t xml:space="preserve">Daily This Could've Been an Email - RCK</t>
  </si>
  <si>
    <t xml:space="preserve">Daily Pitchers First</t>
  </si>
  <si>
    <t xml:space="preserve">Friday Nightmare Cap</t>
  </si>
  <si>
    <t xml:space="preserve">Cap</t>
  </si>
  <si>
    <t xml:space="preserve">Daily Mixed Up My Lunch</t>
  </si>
  <si>
    <t xml:space="preserve">Daily Rocking Chair Lunch</t>
  </si>
  <si>
    <t xml:space="preserve">2026-07-08</t>
  </si>
  <si>
    <t xml:space="preserve">Daily Double Snack Time</t>
  </si>
  <si>
    <t xml:space="preserve">2026-05-25</t>
  </si>
  <si>
    <t xml:space="preserve">Saturday Can't Sleep Clown Will Eat Me</t>
  </si>
  <si>
    <t xml:space="preserve">Daily Meeting About Meetings - ORD</t>
  </si>
  <si>
    <t xml:space="preserve">2026-08-03</t>
  </si>
  <si>
    <t xml:space="preserve">Daily Snack Time on the Ladder</t>
  </si>
  <si>
    <t xml:space="preserve">2026-06-23</t>
  </si>
  <si>
    <t xml:space="preserve">Thursday Night Put it in the Books</t>
  </si>
  <si>
    <t xml:space="preserve">Daily Up Late with Rich</t>
  </si>
  <si>
    <t xml:space="preserve">Saturday Shrinkage</t>
  </si>
  <si>
    <t xml:space="preserve">Daily Open High Cap</t>
  </si>
  <si>
    <t xml:space="preserve">2026-07-27</t>
  </si>
  <si>
    <t xml:space="preserve">Open,Cap</t>
  </si>
  <si>
    <t xml:space="preserve">Monday Night History Lesson</t>
  </si>
  <si>
    <t xml:space="preserve">Tuesday Live Lampooning</t>
  </si>
  <si>
    <t xml:space="preserve">2026-07-28</t>
  </si>
  <si>
    <t xml:space="preserve">Tuesday Live</t>
  </si>
  <si>
    <t xml:space="preserve">2026-06-30</t>
  </si>
  <si>
    <t xml:space="preserve">Live</t>
  </si>
  <si>
    <t xml:space="preserve">Daily Bagels and Schmear with EVCinNYC</t>
  </si>
  <si>
    <t xml:space="preserve">Monday Live Low Diamond</t>
  </si>
  <si>
    <t xml:space="preserve">2026-06-08</t>
  </si>
  <si>
    <t xml:space="preserve">Dr. Dynastic's Daily Time Travelers Slots</t>
  </si>
  <si>
    <t xml:space="preserve">2026-07-02</t>
  </si>
  <si>
    <t xml:space="preserve">Daily Around the Horn at Night</t>
  </si>
  <si>
    <t xml:space="preserve">Daily Around the Breakfast Table</t>
  </si>
  <si>
    <t xml:space="preserve">2026-05-29</t>
  </si>
  <si>
    <t xml:space="preserve">Daily Honey I Shrunk the Roster</t>
  </si>
  <si>
    <t xml:space="preserve">2026-05-13</t>
  </si>
  <si>
    <t xml:space="preserve">Laptophound's Daily Deadball Leisure Lounge</t>
  </si>
  <si>
    <t xml:space="preserve">2026-05-12</t>
  </si>
  <si>
    <t xml:space="preserve">Saturday Around the Horn After Dark</t>
  </si>
  <si>
    <t xml:space="preserve">2026-07-05</t>
  </si>
  <si>
    <t xml:space="preserve">Wednesday Double PD</t>
  </si>
  <si>
    <t xml:space="preserve">2026-07-29</t>
  </si>
  <si>
    <t xml:space="preserve">Daily Just Order Pizza for Dinner</t>
  </si>
  <si>
    <t xml:space="preserve">2026-05-05</t>
  </si>
  <si>
    <t xml:space="preserve">Daily Scrum</t>
  </si>
  <si>
    <t xml:space="preserve">2026-05-19</t>
  </si>
  <si>
    <t xml:space="preserve">Friday Night Live PD</t>
  </si>
  <si>
    <t xml:space="preserve">2026-08-08</t>
  </si>
  <si>
    <t xml:space="preserve">Sunday Morning Markus' Revenge</t>
  </si>
  <si>
    <t xml:space="preserve">2026-05-31</t>
  </si>
  <si>
    <t xml:space="preserve">Tuesday Double Rocking Chairs</t>
  </si>
  <si>
    <t xml:space="preserve">2026-06-02</t>
  </si>
  <si>
    <t xml:space="preserve">Daily Diamond Cap</t>
  </si>
  <si>
    <t xml:space="preserve">2026-05-14</t>
  </si>
  <si>
    <t xml:space="preserve">Diamond,Cap</t>
  </si>
  <si>
    <t xml:space="preserve">Friday Night Live Slots</t>
  </si>
  <si>
    <t xml:space="preserve">2026-05-09</t>
  </si>
  <si>
    <t xml:space="preserve">YES</t>
  </si>
  <si>
    <t xml:space="preserve">Diamond</t>
  </si>
  <si>
    <t xml:space="preserve">2026-07-11</t>
  </si>
  <si>
    <t xml:space="preserve">Silver</t>
  </si>
  <si>
    <t xml:space="preserve">Gold</t>
  </si>
  <si>
    <t xml:space="preserve">Daily Low Gold Retrospecticus</t>
  </si>
  <si>
    <t xml:space="preserve">fuzzy (“Daily Low Gold Retrospectus”)</t>
  </si>
  <si>
    <t xml:space="preserve">Silver,Cap</t>
  </si>
  <si>
    <t xml:space="preserve">2026-08-09</t>
  </si>
  <si>
    <t xml:space="preserve">2026-08-14</t>
  </si>
  <si>
    <t xml:space="preserve">2026-07-03</t>
  </si>
  <si>
    <t xml:space="preserve">Open</t>
  </si>
  <si>
    <t xml:space="preserve">Thursday CWhit's Cap Challenge 3</t>
  </si>
  <si>
    <t xml:space="preserve">fuzzy (“Thursday CWhit's Cap Challenge”)</t>
  </si>
  <si>
    <t xml:space="preserve">2026-08-02</t>
  </si>
  <si>
    <t xml:space="preserve">Thursday CWhit's Cap Challenge 4</t>
  </si>
  <si>
    <t xml:space="preserve">Thursday CWhit's Cap Challenge 2</t>
  </si>
  <si>
    <t xml:space="preserve">Bronze,Cap</t>
  </si>
  <si>
    <t xml:space="preserve">Tuesday Up to 1969</t>
  </si>
  <si>
    <t xml:space="preserve">(not scored)</t>
  </si>
  <si>
    <t xml:space="preserve">2026-07-01</t>
  </si>
  <si>
    <t xml:space="preserve">Tourney data coverage</t>
  </si>
  <si>
    <t xml:space="preserve">Generated 30 August 2026 from the Neon database and Archive/Completed.</t>
  </si>
  <si>
    <t xml:space="preserve">Series with stat exports on file</t>
  </si>
  <si>
    <t xml:space="preserve">Runs (files) imported to the database</t>
  </si>
  <si>
    <t xml:space="preserve">Files sitting in Archive/Completed</t>
  </si>
  <si>
    <t xml:space="preserve">Files not yet imported</t>
  </si>
  <si>
    <t xml:space="preserve">Card-seasons measured</t>
  </si>
  <si>
    <t xml:space="preserve">Distinct events you have entered</t>
  </si>
  <si>
    <t xml:space="preserve">   …with stats on file</t>
  </si>
  <si>
    <t xml:space="preserve">   …with NO stats on file</t>
  </si>
  <si>
    <t xml:space="preserve">Your entries in measured events</t>
  </si>
  <si>
    <t xml:space="preserve">Your entries in UNMEASURED events</t>
  </si>
  <si>
    <t xml:space="preserve">PTCS points from measured events</t>
  </si>
  <si>
    <t xml:space="preserve">PTCS points from UNMEASURED events</t>
  </si>
  <si>
    <t xml:space="preserve">How to read this</t>
  </si>
  <si>
    <t xml:space="preserve">• Uploaded — the 44 series that have at least one stat export. "Gaps in range" counts run numbers missing between the first and last file you have.</t>
  </si>
  <si>
    <t xml:space="preserve">• Events played — every event in your results history. Anything marked NO has no per-card stats, so /build shows no observed column for it.</t>
  </si>
  <si>
    <t xml:space="preserve">• Catalog match — names are matched exactly first, then by near-spelling, because databotai has typos ("Retrospectius", "Daliy"). A row saying "not in the databotai catalog" is usually a retired or renamed event.</t>
  </si>
  <si>
    <t xml:space="preserve">• To import what is already on disk: cd web &amp;&amp; pnpm import:observed, then pnpm fit:projection.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</si>
</sst>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F49"/>
      <name val="Arial"/>
      <family val="0"/>
      <charset val="1"/>
    </font>
    <font>
      <i val="true"/>
      <sz val="9"/>
      <color rgb="FF5A6E7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.5"/>
      <name val="Arial"/>
      <family val="0"/>
      <charset val="1"/>
    </font>
    <font>
      <b val="true"/>
      <sz val="9.5"/>
      <color rgb="FF9C3A1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.5"/>
      <color rgb="FF1E6B4A"/>
      <name val="Arial"/>
      <family val="0"/>
      <charset val="1"/>
    </font>
    <font>
      <sz val="10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1F3F4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F49"/>
        <bgColor rgb="FF333333"/>
      </patternFill>
    </fill>
    <fill>
      <patternFill patternType="solid">
        <fgColor rgb="FFEEF3F4"/>
        <bgColor rgb="FFE3F0E9"/>
      </patternFill>
    </fill>
    <fill>
      <patternFill patternType="solid">
        <fgColor rgb="FFFBE3DC"/>
        <bgColor rgb="FFEEF3F4"/>
      </patternFill>
    </fill>
    <fill>
      <patternFill patternType="solid">
        <fgColor rgb="FFE3F0E9"/>
        <bgColor rgb="FFEEF3F4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8D4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F49"/>
          <bgColor rgb="FF000000"/>
        </patternFill>
      </fill>
    </dxf>
    <dxf>
      <fill>
        <patternFill patternType="solid">
          <fgColor rgb="FFEEF3F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BE3DC"/>
          <bgColor rgb="FF000000"/>
        </patternFill>
      </fill>
    </dxf>
    <dxf>
      <fill>
        <patternFill patternType="solid">
          <fgColor rgb="FF9C3A1E"/>
          <bgColor rgb="FF000000"/>
        </patternFill>
      </fill>
    </dxf>
    <dxf>
      <fill>
        <patternFill patternType="solid">
          <fgColor rgb="FFE3F0E9"/>
          <bgColor rgb="FF000000"/>
        </patternFill>
      </fill>
    </dxf>
    <dxf>
      <fill>
        <patternFill patternType="solid">
          <fgColor rgb="FF1E6B4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4A"/>
      <rgbColor rgb="FFC0C0C0"/>
      <rgbColor rgb="FF808080"/>
      <rgbColor rgb="FF9999FF"/>
      <rgbColor rgb="FF993366"/>
      <rgbColor rgb="FFEEF3F4"/>
      <rgbColor rgb="FFE3F0E9"/>
      <rgbColor rgb="FF660066"/>
      <rgbColor rgb="FFFF8080"/>
      <rgbColor rgb="FF0066CC"/>
      <rgbColor rgb="FFC8D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DC"/>
      <rgbColor rgb="FF3366FF"/>
      <rgbColor rgb="FF33CCCC"/>
      <rgbColor rgb="FF99CC00"/>
      <rgbColor rgb="FFFFCC00"/>
      <rgbColor rgb="FFFF9900"/>
      <rgbColor rgb="FFFF6600"/>
      <rgbColor rgb="FF5A6E71"/>
      <rgbColor rgb="FF969696"/>
      <rgbColor rgb="FF1F3F49"/>
      <rgbColor rgb="FF339966"/>
      <rgbColor rgb="FF003300"/>
      <rgbColor rgb="FF333300"/>
      <rgbColor rgb="FF9C3A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9" min="9" style="0" width="9"/>
    <col collapsed="false" customWidth="true" hidden="false" outlineLevel="0" max="12" min="10" style="0" width="10"/>
    <col collapsed="false" customWidth="true" hidden="false" outlineLevel="0" max="13" min="13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15" hidden="false" customHeight="false" outlineLevel="0" collapsed="false">
      <c r="A5" s="4" t="s">
        <v>15</v>
      </c>
      <c r="B5" s="4" t="s">
        <v>16</v>
      </c>
      <c r="C5" s="4" t="s">
        <v>17</v>
      </c>
      <c r="D5" s="5" t="n">
        <v>31</v>
      </c>
      <c r="E5" s="5" t="n">
        <v>31</v>
      </c>
      <c r="F5" s="4" t="s">
        <v>18</v>
      </c>
      <c r="G5" s="5" t="n">
        <v>49</v>
      </c>
      <c r="H5" s="5" t="n">
        <v>609</v>
      </c>
      <c r="I5" s="5" t="n">
        <v>244</v>
      </c>
      <c r="J5" s="5" t="n">
        <v>620001</v>
      </c>
      <c r="K5" s="5" t="n">
        <v>142708</v>
      </c>
      <c r="L5" s="4" t="s">
        <v>19</v>
      </c>
      <c r="M5" s="5" t="n">
        <v>64</v>
      </c>
    </row>
    <row r="6" customFormat="false" ht="15" hidden="false" customHeight="false" outlineLevel="0" collapsed="false">
      <c r="A6" s="6" t="s">
        <v>20</v>
      </c>
      <c r="B6" s="6" t="s">
        <v>21</v>
      </c>
      <c r="C6" s="6" t="s">
        <v>17</v>
      </c>
      <c r="D6" s="7" t="n">
        <v>27</v>
      </c>
      <c r="E6" s="7" t="n">
        <v>27</v>
      </c>
      <c r="F6" s="6" t="s">
        <v>22</v>
      </c>
      <c r="G6" s="7" t="n">
        <v>53</v>
      </c>
      <c r="H6" s="7" t="n">
        <v>1368</v>
      </c>
      <c r="I6" s="7" t="n">
        <v>606</v>
      </c>
      <c r="J6" s="7" t="n">
        <v>540843</v>
      </c>
      <c r="K6" s="7" t="n">
        <v>124524</v>
      </c>
      <c r="L6" s="6" t="s">
        <v>19</v>
      </c>
      <c r="M6" s="7" t="n">
        <v>64</v>
      </c>
    </row>
    <row r="7" customFormat="false" ht="15" hidden="false" customHeight="false" outlineLevel="0" collapsed="false">
      <c r="A7" s="4" t="s">
        <v>23</v>
      </c>
      <c r="B7" s="4" t="s">
        <v>24</v>
      </c>
      <c r="C7" s="4" t="s">
        <v>17</v>
      </c>
      <c r="D7" s="5" t="n">
        <v>22</v>
      </c>
      <c r="E7" s="5" t="n">
        <v>22</v>
      </c>
      <c r="F7" s="4" t="s">
        <v>25</v>
      </c>
      <c r="G7" s="5" t="n">
        <v>61</v>
      </c>
      <c r="H7" s="5" t="n">
        <v>515</v>
      </c>
      <c r="I7" s="5" t="n">
        <v>189</v>
      </c>
      <c r="J7" s="5" t="n">
        <v>1180265</v>
      </c>
      <c r="K7" s="5" t="n">
        <v>273787</v>
      </c>
      <c r="L7" s="4" t="s">
        <v>19</v>
      </c>
      <c r="M7" s="5" t="n">
        <v>128</v>
      </c>
    </row>
    <row r="8" customFormat="false" ht="15" hidden="false" customHeight="false" outlineLevel="0" collapsed="false">
      <c r="A8" s="6" t="s">
        <v>26</v>
      </c>
      <c r="B8" s="6" t="s">
        <v>27</v>
      </c>
      <c r="C8" s="6" t="s">
        <v>17</v>
      </c>
      <c r="D8" s="7" t="n">
        <v>20</v>
      </c>
      <c r="E8" s="7" t="n">
        <v>20</v>
      </c>
      <c r="F8" s="6" t="s">
        <v>28</v>
      </c>
      <c r="G8" s="7" t="n">
        <v>59</v>
      </c>
      <c r="H8" s="7" t="n">
        <v>623</v>
      </c>
      <c r="I8" s="7" t="n">
        <v>266</v>
      </c>
      <c r="J8" s="7" t="n">
        <v>674705</v>
      </c>
      <c r="K8" s="7" t="n">
        <v>154610</v>
      </c>
      <c r="L8" s="6"/>
      <c r="M8" s="6"/>
    </row>
    <row r="9" customFormat="false" ht="15" hidden="false" customHeight="false" outlineLevel="0" collapsed="false">
      <c r="A9" s="4" t="s">
        <v>29</v>
      </c>
      <c r="B9" s="4" t="s">
        <v>30</v>
      </c>
      <c r="C9" s="4" t="s">
        <v>17</v>
      </c>
      <c r="D9" s="5" t="n">
        <v>18</v>
      </c>
      <c r="E9" s="5" t="n">
        <v>18</v>
      </c>
      <c r="F9" s="4" t="s">
        <v>31</v>
      </c>
      <c r="G9" s="5" t="n">
        <v>20</v>
      </c>
      <c r="H9" s="5" t="n">
        <v>503</v>
      </c>
      <c r="I9" s="5" t="n">
        <v>204</v>
      </c>
      <c r="J9" s="5" t="n">
        <v>483767</v>
      </c>
      <c r="K9" s="5" t="n">
        <v>114896</v>
      </c>
      <c r="L9" s="4" t="s">
        <v>19</v>
      </c>
      <c r="M9" s="5" t="n">
        <v>64</v>
      </c>
    </row>
    <row r="10" customFormat="false" ht="15" hidden="false" customHeight="false" outlineLevel="0" collapsed="false">
      <c r="A10" s="6" t="s">
        <v>32</v>
      </c>
      <c r="B10" s="6" t="s">
        <v>33</v>
      </c>
      <c r="C10" s="6" t="s">
        <v>17</v>
      </c>
      <c r="D10" s="7" t="n">
        <v>16</v>
      </c>
      <c r="E10" s="7" t="n">
        <v>16</v>
      </c>
      <c r="F10" s="6" t="s">
        <v>34</v>
      </c>
      <c r="G10" s="7" t="n">
        <v>32</v>
      </c>
      <c r="H10" s="7" t="n">
        <v>1192</v>
      </c>
      <c r="I10" s="7" t="n">
        <v>551</v>
      </c>
      <c r="J10" s="7" t="n">
        <v>437280</v>
      </c>
      <c r="K10" s="7" t="n">
        <v>101825</v>
      </c>
      <c r="L10" s="6" t="s">
        <v>35</v>
      </c>
      <c r="M10" s="7" t="n">
        <v>64</v>
      </c>
    </row>
    <row r="11" customFormat="false" ht="15" hidden="false" customHeight="false" outlineLevel="0" collapsed="false">
      <c r="A11" s="4" t="s">
        <v>36</v>
      </c>
      <c r="B11" s="4" t="s">
        <v>37</v>
      </c>
      <c r="C11" s="4" t="s">
        <v>17</v>
      </c>
      <c r="D11" s="5" t="n">
        <v>15</v>
      </c>
      <c r="E11" s="5" t="n">
        <v>15</v>
      </c>
      <c r="F11" s="4" t="s">
        <v>38</v>
      </c>
      <c r="G11" s="5" t="n">
        <v>28</v>
      </c>
      <c r="H11" s="5" t="n">
        <v>776</v>
      </c>
      <c r="I11" s="5" t="n">
        <v>306</v>
      </c>
      <c r="J11" s="5" t="n">
        <v>604933</v>
      </c>
      <c r="K11" s="5" t="n">
        <v>137641</v>
      </c>
      <c r="L11" s="4" t="s">
        <v>35</v>
      </c>
      <c r="M11" s="5" t="n">
        <v>64</v>
      </c>
    </row>
    <row r="12" customFormat="false" ht="15" hidden="false" customHeight="false" outlineLevel="0" collapsed="false">
      <c r="A12" s="6" t="s">
        <v>39</v>
      </c>
      <c r="B12" s="6" t="s">
        <v>40</v>
      </c>
      <c r="C12" s="6" t="s">
        <v>17</v>
      </c>
      <c r="D12" s="7" t="n">
        <v>14</v>
      </c>
      <c r="E12" s="7" t="n">
        <v>14</v>
      </c>
      <c r="F12" s="6" t="s">
        <v>41</v>
      </c>
      <c r="G12" s="7" t="n">
        <v>26</v>
      </c>
      <c r="H12" s="7" t="n">
        <v>356</v>
      </c>
      <c r="I12" s="7" t="n">
        <v>150</v>
      </c>
      <c r="J12" s="7" t="n">
        <v>385515</v>
      </c>
      <c r="K12" s="7" t="n">
        <v>89536</v>
      </c>
      <c r="L12" s="6" t="s">
        <v>35</v>
      </c>
      <c r="M12" s="7" t="n">
        <v>64</v>
      </c>
    </row>
    <row r="13" customFormat="false" ht="15" hidden="false" customHeight="false" outlineLevel="0" collapsed="false">
      <c r="A13" s="4" t="s">
        <v>42</v>
      </c>
      <c r="B13" s="4" t="s">
        <v>43</v>
      </c>
      <c r="C13" s="4" t="s">
        <v>17</v>
      </c>
      <c r="D13" s="5" t="n">
        <v>14</v>
      </c>
      <c r="E13" s="5" t="n">
        <v>14</v>
      </c>
      <c r="F13" s="4" t="s">
        <v>44</v>
      </c>
      <c r="G13" s="5" t="n">
        <v>20</v>
      </c>
      <c r="H13" s="5" t="n">
        <v>596</v>
      </c>
      <c r="I13" s="5" t="n">
        <v>233</v>
      </c>
      <c r="J13" s="5" t="n">
        <v>801801</v>
      </c>
      <c r="K13" s="5" t="n">
        <v>182385</v>
      </c>
      <c r="L13" s="4" t="s">
        <v>45</v>
      </c>
      <c r="M13" s="5" t="n">
        <v>64</v>
      </c>
    </row>
    <row r="14" customFormat="false" ht="15" hidden="false" customHeight="false" outlineLevel="0" collapsed="false">
      <c r="A14" s="6" t="s">
        <v>46</v>
      </c>
      <c r="B14" s="6" t="s">
        <v>47</v>
      </c>
      <c r="C14" s="6" t="s">
        <v>17</v>
      </c>
      <c r="D14" s="7" t="n">
        <v>12</v>
      </c>
      <c r="E14" s="7" t="n">
        <v>12</v>
      </c>
      <c r="F14" s="6" t="s">
        <v>48</v>
      </c>
      <c r="G14" s="7" t="n">
        <v>12</v>
      </c>
      <c r="H14" s="7" t="n">
        <v>194</v>
      </c>
      <c r="I14" s="7" t="n">
        <v>90</v>
      </c>
      <c r="J14" s="7" t="n">
        <v>233743</v>
      </c>
      <c r="K14" s="7" t="n">
        <v>55741</v>
      </c>
      <c r="L14" s="6" t="s">
        <v>19</v>
      </c>
      <c r="M14" s="7" t="n">
        <v>64</v>
      </c>
    </row>
    <row r="15" customFormat="false" ht="15" hidden="false" customHeight="false" outlineLevel="0" collapsed="false">
      <c r="A15" s="4" t="s">
        <v>49</v>
      </c>
      <c r="B15" s="4" t="s">
        <v>50</v>
      </c>
      <c r="C15" s="4" t="s">
        <v>17</v>
      </c>
      <c r="D15" s="5" t="n">
        <v>11</v>
      </c>
      <c r="E15" s="5" t="n">
        <v>11</v>
      </c>
      <c r="F15" s="4" t="s">
        <v>51</v>
      </c>
      <c r="G15" s="5" t="n">
        <v>22</v>
      </c>
      <c r="H15" s="5" t="n">
        <v>445</v>
      </c>
      <c r="I15" s="5" t="n">
        <v>178</v>
      </c>
      <c r="J15" s="5" t="n">
        <v>220461</v>
      </c>
      <c r="K15" s="5" t="n">
        <v>51122</v>
      </c>
      <c r="L15" s="4" t="s">
        <v>52</v>
      </c>
      <c r="M15" s="5" t="n">
        <v>64</v>
      </c>
    </row>
    <row r="16" customFormat="false" ht="15" hidden="false" customHeight="false" outlineLevel="0" collapsed="false">
      <c r="A16" s="6" t="s">
        <v>53</v>
      </c>
      <c r="B16" s="6" t="s">
        <v>54</v>
      </c>
      <c r="C16" s="6" t="s">
        <v>17</v>
      </c>
      <c r="D16" s="7" t="n">
        <v>8</v>
      </c>
      <c r="E16" s="7" t="n">
        <v>8</v>
      </c>
      <c r="F16" s="6" t="s">
        <v>55</v>
      </c>
      <c r="G16" s="7" t="n">
        <v>0</v>
      </c>
      <c r="H16" s="7" t="n">
        <v>512</v>
      </c>
      <c r="I16" s="7" t="n">
        <v>217</v>
      </c>
      <c r="J16" s="7" t="n">
        <v>222366</v>
      </c>
      <c r="K16" s="7" t="n">
        <v>52271</v>
      </c>
      <c r="L16" s="6" t="s">
        <v>35</v>
      </c>
      <c r="M16" s="7" t="n">
        <v>64</v>
      </c>
    </row>
    <row r="17" customFormat="false" ht="15" hidden="false" customHeight="false" outlineLevel="0" collapsed="false">
      <c r="A17" s="4" t="s">
        <v>56</v>
      </c>
      <c r="B17" s="4" t="s">
        <v>57</v>
      </c>
      <c r="C17" s="4" t="s">
        <v>17</v>
      </c>
      <c r="D17" s="5" t="n">
        <v>7</v>
      </c>
      <c r="E17" s="5" t="n">
        <v>7</v>
      </c>
      <c r="F17" s="4" t="s">
        <v>58</v>
      </c>
      <c r="G17" s="5" t="n">
        <v>0</v>
      </c>
      <c r="H17" s="5" t="n">
        <v>1555</v>
      </c>
      <c r="I17" s="5" t="n">
        <v>537</v>
      </c>
      <c r="J17" s="5" t="n">
        <v>407921</v>
      </c>
      <c r="K17" s="5" t="n">
        <v>88518</v>
      </c>
      <c r="L17" s="4" t="s">
        <v>35</v>
      </c>
      <c r="M17" s="5" t="n">
        <v>128</v>
      </c>
    </row>
    <row r="18" customFormat="false" ht="15" hidden="false" customHeight="false" outlineLevel="0" collapsed="false">
      <c r="A18" s="6" t="s">
        <v>59</v>
      </c>
      <c r="B18" s="6" t="s">
        <v>60</v>
      </c>
      <c r="C18" s="6" t="s">
        <v>17</v>
      </c>
      <c r="D18" s="7" t="n">
        <v>7</v>
      </c>
      <c r="E18" s="7" t="n">
        <v>7</v>
      </c>
      <c r="F18" s="6" t="s">
        <v>61</v>
      </c>
      <c r="G18" s="7" t="n">
        <v>28</v>
      </c>
      <c r="H18" s="7" t="n">
        <v>715</v>
      </c>
      <c r="I18" s="7" t="n">
        <v>315</v>
      </c>
      <c r="J18" s="7" t="n">
        <v>190545</v>
      </c>
      <c r="K18" s="7" t="n">
        <v>45262</v>
      </c>
      <c r="L18" s="6"/>
      <c r="M18" s="7" t="n">
        <v>64</v>
      </c>
    </row>
    <row r="19" customFormat="false" ht="15" hidden="false" customHeight="false" outlineLevel="0" collapsed="false">
      <c r="A19" s="4" t="s">
        <v>62</v>
      </c>
      <c r="B19" s="4" t="s">
        <v>63</v>
      </c>
      <c r="C19" s="4" t="s">
        <v>17</v>
      </c>
      <c r="D19" s="5" t="n">
        <v>7</v>
      </c>
      <c r="E19" s="5" t="n">
        <v>7</v>
      </c>
      <c r="F19" s="4" t="s">
        <v>64</v>
      </c>
      <c r="G19" s="5" t="n">
        <v>52</v>
      </c>
      <c r="H19" s="5" t="n">
        <v>296</v>
      </c>
      <c r="I19" s="5" t="n">
        <v>125</v>
      </c>
      <c r="J19" s="5" t="n">
        <v>31689</v>
      </c>
      <c r="K19" s="5" t="n">
        <v>7578</v>
      </c>
      <c r="L19" s="4" t="s">
        <v>19</v>
      </c>
      <c r="M19" s="5" t="n">
        <v>16</v>
      </c>
    </row>
    <row r="20" customFormat="false" ht="15" hidden="false" customHeight="false" outlineLevel="0" collapsed="false">
      <c r="A20" s="6" t="s">
        <v>65</v>
      </c>
      <c r="B20" s="6" t="s">
        <v>66</v>
      </c>
      <c r="C20" s="6" t="s">
        <v>17</v>
      </c>
      <c r="D20" s="7" t="n">
        <v>7</v>
      </c>
      <c r="E20" s="7" t="n">
        <v>7</v>
      </c>
      <c r="F20" s="6" t="s">
        <v>67</v>
      </c>
      <c r="G20" s="7" t="n">
        <v>24</v>
      </c>
      <c r="H20" s="7" t="n">
        <v>312</v>
      </c>
      <c r="I20" s="7" t="n">
        <v>135</v>
      </c>
      <c r="J20" s="7" t="n">
        <v>193576</v>
      </c>
      <c r="K20" s="7" t="n">
        <v>45209</v>
      </c>
      <c r="L20" s="6" t="s">
        <v>45</v>
      </c>
      <c r="M20" s="7" t="n">
        <v>64</v>
      </c>
    </row>
    <row r="21" customFormat="false" ht="15" hidden="false" customHeight="false" outlineLevel="0" collapsed="false">
      <c r="A21" s="4" t="s">
        <v>68</v>
      </c>
      <c r="B21" s="4" t="s">
        <v>69</v>
      </c>
      <c r="C21" s="4" t="s">
        <v>17</v>
      </c>
      <c r="D21" s="5" t="n">
        <v>6</v>
      </c>
      <c r="E21" s="5" t="n">
        <v>6</v>
      </c>
      <c r="F21" s="4" t="s">
        <v>70</v>
      </c>
      <c r="G21" s="5" t="n">
        <v>0</v>
      </c>
      <c r="H21" s="5" t="n">
        <v>1324</v>
      </c>
      <c r="I21" s="5" t="n">
        <v>530</v>
      </c>
      <c r="J21" s="5" t="n">
        <v>342036</v>
      </c>
      <c r="K21" s="5" t="n">
        <v>78593</v>
      </c>
      <c r="L21" s="4" t="s">
        <v>45</v>
      </c>
      <c r="M21" s="5" t="n">
        <v>128</v>
      </c>
    </row>
    <row r="22" customFormat="false" ht="15" hidden="false" customHeight="false" outlineLevel="0" collapsed="false">
      <c r="A22" s="6" t="s">
        <v>71</v>
      </c>
      <c r="B22" s="6" t="s">
        <v>72</v>
      </c>
      <c r="C22" s="6" t="s">
        <v>17</v>
      </c>
      <c r="D22" s="7" t="n">
        <v>6</v>
      </c>
      <c r="E22" s="7" t="n">
        <v>6</v>
      </c>
      <c r="F22" s="6" t="s">
        <v>73</v>
      </c>
      <c r="G22" s="7" t="n">
        <v>1</v>
      </c>
      <c r="H22" s="7" t="n">
        <v>632</v>
      </c>
      <c r="I22" s="7" t="n">
        <v>289</v>
      </c>
      <c r="J22" s="7" t="n">
        <v>331491</v>
      </c>
      <c r="K22" s="7" t="n">
        <v>77920</v>
      </c>
      <c r="L22" s="6" t="s">
        <v>45</v>
      </c>
      <c r="M22" s="7" t="n">
        <v>64</v>
      </c>
    </row>
    <row r="23" customFormat="false" ht="15" hidden="false" customHeight="false" outlineLevel="0" collapsed="false">
      <c r="A23" s="4" t="s">
        <v>74</v>
      </c>
      <c r="B23" s="4" t="s">
        <v>75</v>
      </c>
      <c r="C23" s="8" t="s">
        <v>76</v>
      </c>
      <c r="D23" s="5" t="n">
        <v>4</v>
      </c>
      <c r="E23" s="5" t="n">
        <v>5</v>
      </c>
      <c r="F23" s="4" t="s">
        <v>77</v>
      </c>
      <c r="G23" s="5" t="n">
        <v>26</v>
      </c>
      <c r="H23" s="5" t="n">
        <v>731</v>
      </c>
      <c r="I23" s="5" t="n">
        <v>342</v>
      </c>
      <c r="J23" s="5" t="n">
        <v>78942</v>
      </c>
      <c r="K23" s="5" t="n">
        <v>18293</v>
      </c>
      <c r="L23" s="4" t="s">
        <v>45</v>
      </c>
      <c r="M23" s="5" t="n">
        <v>64</v>
      </c>
    </row>
    <row r="24" customFormat="false" ht="15" hidden="false" customHeight="false" outlineLevel="0" collapsed="false">
      <c r="A24" s="6" t="s">
        <v>78</v>
      </c>
      <c r="B24" s="6" t="s">
        <v>79</v>
      </c>
      <c r="C24" s="6" t="s">
        <v>17</v>
      </c>
      <c r="D24" s="7" t="n">
        <v>3</v>
      </c>
      <c r="E24" s="7" t="n">
        <v>3</v>
      </c>
      <c r="F24" s="6" t="s">
        <v>80</v>
      </c>
      <c r="G24" s="7" t="n">
        <v>3</v>
      </c>
      <c r="H24" s="7" t="n">
        <v>221</v>
      </c>
      <c r="I24" s="7" t="n">
        <v>77</v>
      </c>
      <c r="J24" s="7" t="n">
        <v>82582</v>
      </c>
      <c r="K24" s="7" t="n">
        <v>18576</v>
      </c>
      <c r="L24" s="6" t="s">
        <v>81</v>
      </c>
      <c r="M24" s="7" t="n">
        <v>64</v>
      </c>
    </row>
    <row r="25" customFormat="false" ht="15" hidden="false" customHeight="false" outlineLevel="0" collapsed="false">
      <c r="A25" s="4" t="s">
        <v>82</v>
      </c>
      <c r="B25" s="4" t="s">
        <v>83</v>
      </c>
      <c r="C25" s="4" t="s">
        <v>17</v>
      </c>
      <c r="D25" s="5" t="n">
        <v>3</v>
      </c>
      <c r="E25" s="5" t="n">
        <v>3</v>
      </c>
      <c r="F25" s="4" t="s">
        <v>84</v>
      </c>
      <c r="G25" s="5" t="n">
        <v>8</v>
      </c>
      <c r="H25" s="5" t="n">
        <v>663</v>
      </c>
      <c r="I25" s="5" t="n">
        <v>272</v>
      </c>
      <c r="J25" s="5" t="n">
        <v>331317</v>
      </c>
      <c r="K25" s="5" t="n">
        <v>77423</v>
      </c>
      <c r="L25" s="4" t="s">
        <v>19</v>
      </c>
      <c r="M25" s="5" t="n">
        <v>128</v>
      </c>
    </row>
    <row r="26" customFormat="false" ht="15" hidden="false" customHeight="false" outlineLevel="0" collapsed="false">
      <c r="A26" s="6" t="s">
        <v>85</v>
      </c>
      <c r="B26" s="6" t="s">
        <v>86</v>
      </c>
      <c r="C26" s="6" t="s">
        <v>17</v>
      </c>
      <c r="D26" s="7" t="n">
        <v>3</v>
      </c>
      <c r="E26" s="7" t="n">
        <v>3</v>
      </c>
      <c r="F26" s="6" t="s">
        <v>87</v>
      </c>
      <c r="G26" s="7" t="n">
        <v>24</v>
      </c>
      <c r="H26" s="7" t="n">
        <v>199</v>
      </c>
      <c r="I26" s="7" t="n">
        <v>78</v>
      </c>
      <c r="J26" s="7" t="n">
        <v>60973</v>
      </c>
      <c r="K26" s="7" t="n">
        <v>13935</v>
      </c>
      <c r="L26" s="6" t="s">
        <v>35</v>
      </c>
      <c r="M26" s="7" t="n">
        <v>64</v>
      </c>
    </row>
    <row r="27" customFormat="false" ht="15" hidden="false" customHeight="false" outlineLevel="0" collapsed="false">
      <c r="A27" s="4" t="s">
        <v>88</v>
      </c>
      <c r="B27" s="4" t="s">
        <v>89</v>
      </c>
      <c r="C27" s="4" t="s">
        <v>17</v>
      </c>
      <c r="D27" s="5" t="n">
        <v>2</v>
      </c>
      <c r="E27" s="5" t="n">
        <v>2</v>
      </c>
      <c r="F27" s="4" t="s">
        <v>90</v>
      </c>
      <c r="G27" s="5" t="n">
        <v>7</v>
      </c>
      <c r="H27" s="5" t="n">
        <v>437</v>
      </c>
      <c r="I27" s="5" t="n">
        <v>179</v>
      </c>
      <c r="J27" s="5" t="n">
        <v>108682</v>
      </c>
      <c r="K27" s="5" t="n">
        <v>25158</v>
      </c>
      <c r="L27" s="4"/>
      <c r="M27" s="5" t="n">
        <v>128</v>
      </c>
    </row>
    <row r="28" customFormat="false" ht="15" hidden="false" customHeight="false" outlineLevel="0" collapsed="false">
      <c r="A28" s="6" t="s">
        <v>91</v>
      </c>
      <c r="B28" s="6" t="s">
        <v>92</v>
      </c>
      <c r="C28" s="6" t="s">
        <v>17</v>
      </c>
      <c r="D28" s="7" t="n">
        <v>2</v>
      </c>
      <c r="E28" s="7" t="n">
        <v>2</v>
      </c>
      <c r="F28" s="6" t="s">
        <v>93</v>
      </c>
      <c r="G28" s="7" t="n">
        <v>0</v>
      </c>
      <c r="H28" s="7" t="n">
        <v>453</v>
      </c>
      <c r="I28" s="7" t="n">
        <v>221</v>
      </c>
      <c r="J28" s="7" t="n">
        <v>54531</v>
      </c>
      <c r="K28" s="7" t="n">
        <v>12408</v>
      </c>
      <c r="L28" s="6"/>
      <c r="M28" s="6"/>
    </row>
    <row r="29" customFormat="false" ht="15" hidden="false" customHeight="false" outlineLevel="0" collapsed="false">
      <c r="A29" s="4" t="s">
        <v>94</v>
      </c>
      <c r="B29" s="4" t="s">
        <v>95</v>
      </c>
      <c r="C29" s="4" t="s">
        <v>17</v>
      </c>
      <c r="D29" s="5" t="n">
        <v>2</v>
      </c>
      <c r="E29" s="5" t="n">
        <v>2</v>
      </c>
      <c r="F29" s="4" t="s">
        <v>96</v>
      </c>
      <c r="G29" s="5" t="n">
        <v>2</v>
      </c>
      <c r="H29" s="5" t="n">
        <v>385</v>
      </c>
      <c r="I29" s="5" t="n">
        <v>186</v>
      </c>
      <c r="J29" s="5" t="n">
        <v>111771</v>
      </c>
      <c r="K29" s="5" t="n">
        <v>25330</v>
      </c>
      <c r="L29" s="4" t="s">
        <v>81</v>
      </c>
      <c r="M29" s="5" t="n">
        <v>128</v>
      </c>
    </row>
    <row r="30" customFormat="false" ht="15" hidden="false" customHeight="false" outlineLevel="0" collapsed="false">
      <c r="A30" s="6" t="s">
        <v>97</v>
      </c>
      <c r="B30" s="6" t="s">
        <v>98</v>
      </c>
      <c r="C30" s="6" t="s">
        <v>17</v>
      </c>
      <c r="D30" s="7" t="n">
        <v>2</v>
      </c>
      <c r="E30" s="7" t="n">
        <v>2</v>
      </c>
      <c r="F30" s="6" t="s">
        <v>99</v>
      </c>
      <c r="G30" s="7" t="n">
        <v>3</v>
      </c>
      <c r="H30" s="7" t="n">
        <v>1200</v>
      </c>
      <c r="I30" s="7" t="n">
        <v>586</v>
      </c>
      <c r="J30" s="7" t="n">
        <v>111782</v>
      </c>
      <c r="K30" s="7" t="n">
        <v>25669</v>
      </c>
      <c r="L30" s="6" t="s">
        <v>100</v>
      </c>
      <c r="M30" s="7" t="n">
        <v>128</v>
      </c>
    </row>
    <row r="31" customFormat="false" ht="15" hidden="false" customHeight="false" outlineLevel="0" collapsed="false">
      <c r="A31" s="4" t="s">
        <v>101</v>
      </c>
      <c r="B31" s="4" t="s">
        <v>102</v>
      </c>
      <c r="C31" s="4" t="s">
        <v>17</v>
      </c>
      <c r="D31" s="5" t="n">
        <v>2</v>
      </c>
      <c r="E31" s="5" t="n">
        <v>2</v>
      </c>
      <c r="F31" s="4" t="s">
        <v>103</v>
      </c>
      <c r="G31" s="5" t="n">
        <v>3</v>
      </c>
      <c r="H31" s="5" t="n">
        <v>821</v>
      </c>
      <c r="I31" s="5" t="n">
        <v>393</v>
      </c>
      <c r="J31" s="5" t="n">
        <v>56626</v>
      </c>
      <c r="K31" s="5" t="n">
        <v>12854</v>
      </c>
      <c r="L31" s="4"/>
      <c r="M31" s="5" t="n">
        <v>64</v>
      </c>
    </row>
    <row r="32" customFormat="false" ht="15" hidden="false" customHeight="false" outlineLevel="0" collapsed="false">
      <c r="A32" s="6" t="s">
        <v>104</v>
      </c>
      <c r="B32" s="6" t="s">
        <v>105</v>
      </c>
      <c r="C32" s="6" t="s">
        <v>17</v>
      </c>
      <c r="D32" s="7" t="n">
        <v>2</v>
      </c>
      <c r="E32" s="7" t="n">
        <v>2</v>
      </c>
      <c r="F32" s="6" t="s">
        <v>106</v>
      </c>
      <c r="G32" s="7" t="n">
        <v>1</v>
      </c>
      <c r="H32" s="7" t="n">
        <v>1089</v>
      </c>
      <c r="I32" s="7" t="n">
        <v>525</v>
      </c>
      <c r="J32" s="7" t="n">
        <v>109633</v>
      </c>
      <c r="K32" s="7" t="n">
        <v>25329</v>
      </c>
      <c r="L32" s="6"/>
      <c r="M32" s="7" t="n">
        <v>128</v>
      </c>
    </row>
    <row r="33" customFormat="false" ht="15" hidden="false" customHeight="false" outlineLevel="0" collapsed="false">
      <c r="A33" s="4" t="s">
        <v>107</v>
      </c>
      <c r="B33" s="4" t="s">
        <v>108</v>
      </c>
      <c r="C33" s="4" t="s">
        <v>17</v>
      </c>
      <c r="D33" s="5" t="n">
        <v>2</v>
      </c>
      <c r="E33" s="5" t="n">
        <v>2</v>
      </c>
      <c r="F33" s="4" t="s">
        <v>109</v>
      </c>
      <c r="G33" s="5" t="n">
        <v>11</v>
      </c>
      <c r="H33" s="5" t="n">
        <v>744</v>
      </c>
      <c r="I33" s="5" t="n">
        <v>317</v>
      </c>
      <c r="J33" s="5" t="n">
        <v>218483</v>
      </c>
      <c r="K33" s="5" t="n">
        <v>51640</v>
      </c>
      <c r="L33" s="4"/>
      <c r="M33" s="5" t="n">
        <v>256</v>
      </c>
    </row>
    <row r="34" customFormat="false" ht="15" hidden="false" customHeight="false" outlineLevel="0" collapsed="false">
      <c r="A34" s="6" t="s">
        <v>110</v>
      </c>
      <c r="B34" s="6" t="s">
        <v>111</v>
      </c>
      <c r="C34" s="6" t="s">
        <v>17</v>
      </c>
      <c r="D34" s="7" t="n">
        <v>2</v>
      </c>
      <c r="E34" s="7" t="n">
        <v>2</v>
      </c>
      <c r="F34" s="6" t="s">
        <v>112</v>
      </c>
      <c r="G34" s="7" t="n">
        <v>0</v>
      </c>
      <c r="H34" s="7" t="n">
        <v>227</v>
      </c>
      <c r="I34" s="7" t="n">
        <v>70</v>
      </c>
      <c r="J34" s="7" t="n">
        <v>56124</v>
      </c>
      <c r="K34" s="7" t="n">
        <v>13144</v>
      </c>
      <c r="L34" s="6"/>
      <c r="M34" s="7" t="n">
        <v>64</v>
      </c>
    </row>
    <row r="35" customFormat="false" ht="15" hidden="false" customHeight="false" outlineLevel="0" collapsed="false">
      <c r="A35" s="4" t="s">
        <v>113</v>
      </c>
      <c r="B35" s="4" t="s">
        <v>114</v>
      </c>
      <c r="C35" s="4" t="s">
        <v>17</v>
      </c>
      <c r="D35" s="5" t="n">
        <v>1</v>
      </c>
      <c r="E35" s="5" t="n">
        <v>1</v>
      </c>
      <c r="F35" s="4" t="s">
        <v>115</v>
      </c>
      <c r="G35" s="5" t="n">
        <v>0</v>
      </c>
      <c r="H35" s="5" t="n">
        <v>453</v>
      </c>
      <c r="I35" s="5" t="n">
        <v>213</v>
      </c>
      <c r="J35" s="5" t="n">
        <v>27819</v>
      </c>
      <c r="K35" s="5" t="n">
        <v>6135</v>
      </c>
      <c r="L35" s="4" t="s">
        <v>81</v>
      </c>
      <c r="M35" s="5" t="n">
        <v>64</v>
      </c>
    </row>
    <row r="36" customFormat="false" ht="15" hidden="false" customHeight="false" outlineLevel="0" collapsed="false">
      <c r="A36" s="6" t="s">
        <v>116</v>
      </c>
      <c r="B36" s="6" t="s">
        <v>117</v>
      </c>
      <c r="C36" s="6" t="s">
        <v>17</v>
      </c>
      <c r="D36" s="7" t="n">
        <v>1</v>
      </c>
      <c r="E36" s="7" t="n">
        <v>1</v>
      </c>
      <c r="F36" s="6" t="s">
        <v>118</v>
      </c>
      <c r="G36" s="7" t="n">
        <v>0</v>
      </c>
      <c r="H36" s="7" t="n">
        <v>475</v>
      </c>
      <c r="I36" s="7" t="n">
        <v>217</v>
      </c>
      <c r="J36" s="7" t="n">
        <v>57115</v>
      </c>
      <c r="K36" s="7" t="n">
        <v>13121</v>
      </c>
      <c r="L36" s="6"/>
      <c r="M36" s="6"/>
    </row>
    <row r="37" customFormat="false" ht="15" hidden="false" customHeight="false" outlineLevel="0" collapsed="false">
      <c r="A37" s="4" t="s">
        <v>119</v>
      </c>
      <c r="B37" s="4" t="s">
        <v>120</v>
      </c>
      <c r="C37" s="4" t="s">
        <v>17</v>
      </c>
      <c r="D37" s="5" t="n">
        <v>1</v>
      </c>
      <c r="E37" s="5" t="n">
        <v>1</v>
      </c>
      <c r="F37" s="4" t="s">
        <v>121</v>
      </c>
      <c r="G37" s="5" t="n">
        <v>0</v>
      </c>
      <c r="H37" s="5" t="n">
        <v>446</v>
      </c>
      <c r="I37" s="5" t="n">
        <v>196</v>
      </c>
      <c r="J37" s="5" t="n">
        <v>118218</v>
      </c>
      <c r="K37" s="5" t="n">
        <v>25997</v>
      </c>
      <c r="L37" s="4" t="s">
        <v>81</v>
      </c>
      <c r="M37" s="5" t="n">
        <v>256</v>
      </c>
    </row>
    <row r="38" customFormat="false" ht="15" hidden="false" customHeight="false" outlineLevel="0" collapsed="false">
      <c r="A38" s="6" t="s">
        <v>122</v>
      </c>
      <c r="B38" s="6" t="s">
        <v>123</v>
      </c>
      <c r="C38" s="6" t="s">
        <v>17</v>
      </c>
      <c r="D38" s="7" t="n">
        <v>1</v>
      </c>
      <c r="E38" s="7" t="n">
        <v>1</v>
      </c>
      <c r="F38" s="6" t="s">
        <v>124</v>
      </c>
      <c r="G38" s="7" t="n">
        <v>0</v>
      </c>
      <c r="H38" s="7" t="n">
        <v>443</v>
      </c>
      <c r="I38" s="7" t="n">
        <v>198</v>
      </c>
      <c r="J38" s="7" t="n">
        <v>56454</v>
      </c>
      <c r="K38" s="7" t="n">
        <v>12828</v>
      </c>
      <c r="L38" s="6"/>
      <c r="M38" s="7" t="n">
        <v>128</v>
      </c>
    </row>
    <row r="39" customFormat="false" ht="15" hidden="false" customHeight="false" outlineLevel="0" collapsed="false">
      <c r="A39" s="4" t="s">
        <v>125</v>
      </c>
      <c r="B39" s="4" t="s">
        <v>126</v>
      </c>
      <c r="C39" s="4" t="s">
        <v>17</v>
      </c>
      <c r="D39" s="5" t="n">
        <v>1</v>
      </c>
      <c r="E39" s="5" t="n">
        <v>1</v>
      </c>
      <c r="F39" s="4" t="s">
        <v>121</v>
      </c>
      <c r="G39" s="5" t="n">
        <v>0</v>
      </c>
      <c r="H39" s="5" t="n">
        <v>167</v>
      </c>
      <c r="I39" s="5" t="n">
        <v>58</v>
      </c>
      <c r="J39" s="5" t="n">
        <v>56196</v>
      </c>
      <c r="K39" s="5" t="n">
        <v>13148</v>
      </c>
      <c r="L39" s="4"/>
      <c r="M39" s="5" t="n">
        <v>128</v>
      </c>
    </row>
    <row r="40" customFormat="false" ht="15" hidden="false" customHeight="false" outlineLevel="0" collapsed="false">
      <c r="A40" s="6" t="s">
        <v>127</v>
      </c>
      <c r="B40" s="6" t="s">
        <v>128</v>
      </c>
      <c r="C40" s="6" t="s">
        <v>17</v>
      </c>
      <c r="D40" s="7" t="n">
        <v>1</v>
      </c>
      <c r="E40" s="7" t="n">
        <v>1</v>
      </c>
      <c r="F40" s="6" t="s">
        <v>129</v>
      </c>
      <c r="G40" s="7" t="n">
        <v>0</v>
      </c>
      <c r="H40" s="7" t="n">
        <v>249</v>
      </c>
      <c r="I40" s="7" t="n">
        <v>101</v>
      </c>
      <c r="J40" s="7" t="n">
        <v>56200</v>
      </c>
      <c r="K40" s="7" t="n">
        <v>12970</v>
      </c>
      <c r="L40" s="6" t="s">
        <v>19</v>
      </c>
      <c r="M40" s="7" t="n">
        <v>128</v>
      </c>
    </row>
    <row r="41" customFormat="false" ht="15" hidden="false" customHeight="false" outlineLevel="0" collapsed="false">
      <c r="A41" s="4" t="s">
        <v>130</v>
      </c>
      <c r="B41" s="4" t="s">
        <v>131</v>
      </c>
      <c r="C41" s="4" t="s">
        <v>17</v>
      </c>
      <c r="D41" s="5" t="n">
        <v>1</v>
      </c>
      <c r="E41" s="5" t="n">
        <v>1</v>
      </c>
      <c r="F41" s="4" t="s">
        <v>132</v>
      </c>
      <c r="G41" s="5" t="n">
        <v>0</v>
      </c>
      <c r="H41" s="5" t="n">
        <v>590</v>
      </c>
      <c r="I41" s="5" t="n">
        <v>266</v>
      </c>
      <c r="J41" s="5" t="n">
        <v>54049</v>
      </c>
      <c r="K41" s="5" t="n">
        <v>12431</v>
      </c>
      <c r="L41" s="4" t="s">
        <v>133</v>
      </c>
      <c r="M41" s="5" t="n">
        <v>128</v>
      </c>
    </row>
    <row r="42" customFormat="false" ht="15" hidden="false" customHeight="false" outlineLevel="0" collapsed="false">
      <c r="A42" s="6" t="s">
        <v>134</v>
      </c>
      <c r="B42" s="6" t="s">
        <v>135</v>
      </c>
      <c r="C42" s="6" t="s">
        <v>17</v>
      </c>
      <c r="D42" s="7" t="n">
        <v>1</v>
      </c>
      <c r="E42" s="7" t="n">
        <v>1</v>
      </c>
      <c r="F42" s="6" t="s">
        <v>121</v>
      </c>
      <c r="G42" s="7" t="n">
        <v>0</v>
      </c>
      <c r="H42" s="7" t="n">
        <v>491</v>
      </c>
      <c r="I42" s="7" t="n">
        <v>200</v>
      </c>
      <c r="J42" s="7" t="n">
        <v>109061</v>
      </c>
      <c r="K42" s="7" t="n">
        <v>25924</v>
      </c>
      <c r="L42" s="6" t="s">
        <v>35</v>
      </c>
      <c r="M42" s="7" t="n">
        <v>128</v>
      </c>
    </row>
    <row r="43" customFormat="false" ht="15" hidden="false" customHeight="false" outlineLevel="0" collapsed="false">
      <c r="A43" s="4" t="s">
        <v>136</v>
      </c>
      <c r="B43" s="4" t="s">
        <v>137</v>
      </c>
      <c r="C43" s="4" t="s">
        <v>17</v>
      </c>
      <c r="D43" s="5" t="n">
        <v>1</v>
      </c>
      <c r="E43" s="5" t="n">
        <v>1</v>
      </c>
      <c r="F43" s="4" t="s">
        <v>138</v>
      </c>
      <c r="G43" s="5" t="n">
        <v>0</v>
      </c>
      <c r="H43" s="5" t="n">
        <v>202</v>
      </c>
      <c r="I43" s="5" t="n">
        <v>97</v>
      </c>
      <c r="J43" s="5" t="n">
        <v>39212</v>
      </c>
      <c r="K43" s="5" t="n">
        <v>9192</v>
      </c>
      <c r="L43" s="4" t="s">
        <v>139</v>
      </c>
      <c r="M43" s="5" t="n">
        <v>128</v>
      </c>
    </row>
    <row r="44" customFormat="false" ht="15" hidden="false" customHeight="false" outlineLevel="0" collapsed="false">
      <c r="A44" s="6" t="s">
        <v>140</v>
      </c>
      <c r="B44" s="6" t="s">
        <v>141</v>
      </c>
      <c r="C44" s="6" t="s">
        <v>17</v>
      </c>
      <c r="D44" s="7" t="n">
        <v>1</v>
      </c>
      <c r="E44" s="7" t="n">
        <v>1</v>
      </c>
      <c r="F44" s="6" t="s">
        <v>142</v>
      </c>
      <c r="G44" s="7" t="n">
        <v>0</v>
      </c>
      <c r="H44" s="7" t="n">
        <v>241</v>
      </c>
      <c r="I44" s="7" t="n">
        <v>115</v>
      </c>
      <c r="J44" s="7" t="n">
        <v>55825</v>
      </c>
      <c r="K44" s="7" t="n">
        <v>13281</v>
      </c>
      <c r="L44" s="6" t="s">
        <v>45</v>
      </c>
      <c r="M44" s="7" t="n">
        <v>64</v>
      </c>
    </row>
    <row r="45" customFormat="false" ht="15" hidden="false" customHeight="false" outlineLevel="0" collapsed="false">
      <c r="A45" s="4" t="s">
        <v>143</v>
      </c>
      <c r="B45" s="4" t="s">
        <v>144</v>
      </c>
      <c r="C45" s="4" t="s">
        <v>17</v>
      </c>
      <c r="D45" s="5" t="n">
        <v>1</v>
      </c>
      <c r="E45" s="5" t="n">
        <v>1</v>
      </c>
      <c r="F45" s="4" t="s">
        <v>121</v>
      </c>
      <c r="G45" s="5" t="n">
        <v>0</v>
      </c>
      <c r="H45" s="5" t="n">
        <v>745</v>
      </c>
      <c r="I45" s="5" t="n">
        <v>350</v>
      </c>
      <c r="J45" s="5" t="n">
        <v>56414</v>
      </c>
      <c r="K45" s="5" t="n">
        <v>12821</v>
      </c>
      <c r="L45" s="4" t="s">
        <v>145</v>
      </c>
      <c r="M45" s="5" t="n">
        <v>128</v>
      </c>
    </row>
    <row r="46" customFormat="false" ht="15" hidden="false" customHeight="false" outlineLevel="0" collapsed="false">
      <c r="A46" s="6" t="s">
        <v>146</v>
      </c>
      <c r="B46" s="6" t="s">
        <v>147</v>
      </c>
      <c r="C46" s="6" t="s">
        <v>17</v>
      </c>
      <c r="D46" s="7" t="n">
        <v>1</v>
      </c>
      <c r="E46" s="7" t="n">
        <v>1</v>
      </c>
      <c r="F46" s="6" t="s">
        <v>121</v>
      </c>
      <c r="G46" s="7" t="n">
        <v>0</v>
      </c>
      <c r="H46" s="7" t="n">
        <v>584</v>
      </c>
      <c r="I46" s="7" t="n">
        <v>253</v>
      </c>
      <c r="J46" s="7" t="n">
        <v>110783</v>
      </c>
      <c r="K46" s="7" t="n">
        <v>25946</v>
      </c>
      <c r="L46" s="6" t="s">
        <v>45</v>
      </c>
      <c r="M46" s="7" t="n">
        <v>256</v>
      </c>
    </row>
    <row r="47" customFormat="false" ht="15" hidden="false" customHeight="false" outlineLevel="0" collapsed="false">
      <c r="A47" s="4" t="s">
        <v>148</v>
      </c>
      <c r="B47" s="4" t="s">
        <v>149</v>
      </c>
      <c r="C47" s="4" t="s">
        <v>17</v>
      </c>
      <c r="D47" s="5" t="n">
        <v>1</v>
      </c>
      <c r="E47" s="5" t="n">
        <v>1</v>
      </c>
      <c r="F47" s="4" t="s">
        <v>121</v>
      </c>
      <c r="G47" s="5" t="n">
        <v>0</v>
      </c>
      <c r="H47" s="5" t="n">
        <v>242</v>
      </c>
      <c r="I47" s="5" t="n">
        <v>83</v>
      </c>
      <c r="J47" s="5" t="n">
        <v>53010</v>
      </c>
      <c r="K47" s="5" t="n">
        <v>13050</v>
      </c>
      <c r="L47" s="4"/>
      <c r="M47" s="5" t="n">
        <v>128</v>
      </c>
    </row>
    <row r="48" customFormat="false" ht="15" hidden="false" customHeight="false" outlineLevel="0" collapsed="false">
      <c r="A48" s="6" t="s">
        <v>150</v>
      </c>
      <c r="B48" s="6" t="s">
        <v>117</v>
      </c>
      <c r="C48" s="8" t="s">
        <v>151</v>
      </c>
      <c r="D48" s="7" t="n">
        <v>0</v>
      </c>
      <c r="E48" s="7" t="n">
        <v>1</v>
      </c>
      <c r="F48" s="6" t="s">
        <v>152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6"/>
      <c r="M48" s="6"/>
    </row>
    <row r="50" customFormat="false" ht="15" hidden="false" customHeight="false" outlineLevel="0" collapsed="false">
      <c r="A50" s="9" t="s">
        <v>153</v>
      </c>
      <c r="D50" s="10" t="n">
        <f aca="false">SUM(D5:D48)</f>
        <v>290</v>
      </c>
      <c r="E50" s="10" t="n">
        <f aca="false">SUM(E5:E48)</f>
        <v>292</v>
      </c>
      <c r="H50" s="10" t="n">
        <f aca="false">SUM(H5:H48)</f>
        <v>25021</v>
      </c>
      <c r="J50" s="10" t="n">
        <f aca="false">SUM(J5:J48)</f>
        <v>10134740</v>
      </c>
      <c r="K50" s="10" t="n">
        <f aca="false">SUM(K5:K48)</f>
        <v>2340729</v>
      </c>
    </row>
  </sheetData>
  <autoFilter ref="A4:M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1"/>
    <col collapsed="false" customWidth="true" hidden="false" outlineLevel="0" max="8" min="6" style="0" width="10"/>
    <col collapsed="false" customWidth="true" hidden="false" outlineLevel="0" max="9" min="9" style="0" width="7"/>
    <col collapsed="false" customWidth="true" hidden="false" outlineLevel="0" max="10" min="10" style="0" width="11"/>
    <col collapsed="false" customWidth="true" hidden="false" outlineLevel="0" max="11" min="11" style="0" width="26"/>
    <col collapsed="false" customWidth="true" hidden="false" outlineLevel="0" max="12" min="12" style="0" width="34"/>
  </cols>
  <sheetData>
    <row r="1" customFormat="false" ht="17.35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4" customFormat="false" ht="30" hidden="false" customHeight="true" outlineLevel="0" collapsed="false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3" t="s">
        <v>161</v>
      </c>
      <c r="G4" s="3" t="s">
        <v>162</v>
      </c>
      <c r="H4" s="3" t="s">
        <v>163</v>
      </c>
      <c r="I4" s="3" t="s">
        <v>14</v>
      </c>
      <c r="J4" s="3" t="s">
        <v>164</v>
      </c>
      <c r="K4" s="3" t="s">
        <v>165</v>
      </c>
      <c r="L4" s="3" t="s">
        <v>166</v>
      </c>
    </row>
    <row r="5" customFormat="false" ht="15" hidden="false" customHeight="false" outlineLevel="0" collapsed="false">
      <c r="A5" s="4" t="s">
        <v>167</v>
      </c>
      <c r="B5" s="4" t="s">
        <v>168</v>
      </c>
      <c r="C5" s="8" t="s">
        <v>169</v>
      </c>
      <c r="D5" s="4"/>
      <c r="E5" s="5" t="n">
        <v>0</v>
      </c>
      <c r="F5" s="5" t="n">
        <v>61</v>
      </c>
      <c r="G5" s="5" t="n">
        <v>137</v>
      </c>
      <c r="H5" s="5" t="n">
        <v>2</v>
      </c>
      <c r="I5" s="5" t="n">
        <v>64</v>
      </c>
      <c r="J5" s="4" t="s">
        <v>170</v>
      </c>
      <c r="K5" s="4" t="s">
        <v>171</v>
      </c>
      <c r="L5" s="4" t="s">
        <v>172</v>
      </c>
    </row>
    <row r="6" customFormat="false" ht="15" hidden="false" customHeight="false" outlineLevel="0" collapsed="false">
      <c r="A6" s="6" t="s">
        <v>173</v>
      </c>
      <c r="B6" s="6" t="s">
        <v>168</v>
      </c>
      <c r="C6" s="8" t="s">
        <v>169</v>
      </c>
      <c r="D6" s="6"/>
      <c r="E6" s="7" t="n">
        <v>0</v>
      </c>
      <c r="F6" s="7" t="n">
        <v>56</v>
      </c>
      <c r="G6" s="7" t="n">
        <v>202</v>
      </c>
      <c r="H6" s="7" t="n">
        <v>2</v>
      </c>
      <c r="I6" s="7" t="n">
        <v>128</v>
      </c>
      <c r="J6" s="6" t="s">
        <v>174</v>
      </c>
      <c r="K6" s="6" t="s">
        <v>171</v>
      </c>
      <c r="L6" s="6" t="s">
        <v>172</v>
      </c>
    </row>
    <row r="7" customFormat="false" ht="15" hidden="false" customHeight="false" outlineLevel="0" collapsed="false">
      <c r="A7" s="4" t="s">
        <v>175</v>
      </c>
      <c r="B7" s="4" t="s">
        <v>168</v>
      </c>
      <c r="C7" s="8" t="s">
        <v>169</v>
      </c>
      <c r="D7" s="4"/>
      <c r="E7" s="5" t="n">
        <v>0</v>
      </c>
      <c r="F7" s="5" t="n">
        <v>54</v>
      </c>
      <c r="G7" s="5" t="n">
        <v>64</v>
      </c>
      <c r="H7" s="5" t="n">
        <v>4</v>
      </c>
      <c r="I7" s="5" t="n">
        <v>64</v>
      </c>
      <c r="J7" s="4" t="s">
        <v>170</v>
      </c>
      <c r="K7" s="4" t="s">
        <v>171</v>
      </c>
      <c r="L7" s="4" t="s">
        <v>172</v>
      </c>
    </row>
    <row r="8" customFormat="false" ht="15" hidden="false" customHeight="false" outlineLevel="0" collapsed="false">
      <c r="A8" s="6" t="s">
        <v>176</v>
      </c>
      <c r="B8" s="6" t="s">
        <v>168</v>
      </c>
      <c r="C8" s="8" t="s">
        <v>169</v>
      </c>
      <c r="D8" s="6"/>
      <c r="E8" s="7" t="n">
        <v>0</v>
      </c>
      <c r="F8" s="7" t="n">
        <v>34</v>
      </c>
      <c r="G8" s="7" t="n">
        <v>64</v>
      </c>
      <c r="H8" s="7" t="n">
        <v>2</v>
      </c>
      <c r="I8" s="7" t="n">
        <v>64</v>
      </c>
      <c r="J8" s="6" t="s">
        <v>177</v>
      </c>
      <c r="K8" s="6" t="s">
        <v>171</v>
      </c>
      <c r="L8" s="6" t="s">
        <v>172</v>
      </c>
    </row>
    <row r="9" customFormat="false" ht="15" hidden="false" customHeight="false" outlineLevel="0" collapsed="false">
      <c r="A9" s="4" t="s">
        <v>178</v>
      </c>
      <c r="B9" s="4" t="s">
        <v>168</v>
      </c>
      <c r="C9" s="8" t="s">
        <v>169</v>
      </c>
      <c r="D9" s="4"/>
      <c r="E9" s="5" t="n">
        <v>0</v>
      </c>
      <c r="F9" s="5" t="n">
        <v>32</v>
      </c>
      <c r="G9" s="5" t="n">
        <v>41</v>
      </c>
      <c r="H9" s="5" t="n">
        <v>2</v>
      </c>
      <c r="I9" s="5" t="n">
        <v>64</v>
      </c>
      <c r="J9" s="4" t="s">
        <v>179</v>
      </c>
      <c r="K9" s="4" t="s">
        <v>171</v>
      </c>
      <c r="L9" s="4" t="s">
        <v>172</v>
      </c>
    </row>
    <row r="10" customFormat="false" ht="15" hidden="false" customHeight="false" outlineLevel="0" collapsed="false">
      <c r="A10" s="6" t="s">
        <v>180</v>
      </c>
      <c r="B10" s="6" t="s">
        <v>168</v>
      </c>
      <c r="C10" s="8" t="s">
        <v>169</v>
      </c>
      <c r="D10" s="6"/>
      <c r="E10" s="7" t="n">
        <v>0</v>
      </c>
      <c r="F10" s="7" t="n">
        <v>26</v>
      </c>
      <c r="G10" s="7" t="n">
        <v>67</v>
      </c>
      <c r="H10" s="7" t="n">
        <v>1</v>
      </c>
      <c r="I10" s="7" t="n">
        <v>64</v>
      </c>
      <c r="J10" s="6" t="s">
        <v>177</v>
      </c>
      <c r="K10" s="6" t="s">
        <v>171</v>
      </c>
      <c r="L10" s="6" t="s">
        <v>172</v>
      </c>
    </row>
    <row r="11" customFormat="false" ht="15" hidden="false" customHeight="false" outlineLevel="0" collapsed="false">
      <c r="A11" s="4" t="s">
        <v>181</v>
      </c>
      <c r="B11" s="4" t="s">
        <v>168</v>
      </c>
      <c r="C11" s="8" t="s">
        <v>169</v>
      </c>
      <c r="D11" s="4"/>
      <c r="E11" s="5" t="n">
        <v>0</v>
      </c>
      <c r="F11" s="5" t="n">
        <v>21</v>
      </c>
      <c r="G11" s="5" t="n">
        <v>65</v>
      </c>
      <c r="H11" s="5" t="n">
        <v>1</v>
      </c>
      <c r="I11" s="5" t="n">
        <v>128</v>
      </c>
      <c r="J11" s="4" t="s">
        <v>182</v>
      </c>
      <c r="K11" s="4" t="s">
        <v>171</v>
      </c>
      <c r="L11" s="4" t="s">
        <v>172</v>
      </c>
    </row>
    <row r="12" customFormat="false" ht="15" hidden="false" customHeight="false" outlineLevel="0" collapsed="false">
      <c r="A12" s="6" t="s">
        <v>183</v>
      </c>
      <c r="B12" s="6" t="s">
        <v>168</v>
      </c>
      <c r="C12" s="8" t="s">
        <v>169</v>
      </c>
      <c r="D12" s="6"/>
      <c r="E12" s="7" t="n">
        <v>0</v>
      </c>
      <c r="F12" s="7" t="n">
        <v>21</v>
      </c>
      <c r="G12" s="7" t="n">
        <v>43</v>
      </c>
      <c r="H12" s="7" t="n">
        <v>1</v>
      </c>
      <c r="I12" s="7" t="n">
        <v>128</v>
      </c>
      <c r="J12" s="6" t="s">
        <v>184</v>
      </c>
      <c r="K12" s="6" t="s">
        <v>171</v>
      </c>
      <c r="L12" s="6" t="s">
        <v>172</v>
      </c>
    </row>
    <row r="13" customFormat="false" ht="15" hidden="false" customHeight="false" outlineLevel="0" collapsed="false">
      <c r="A13" s="4" t="s">
        <v>185</v>
      </c>
      <c r="B13" s="4" t="s">
        <v>168</v>
      </c>
      <c r="C13" s="8" t="s">
        <v>169</v>
      </c>
      <c r="D13" s="4"/>
      <c r="E13" s="5" t="n">
        <v>0</v>
      </c>
      <c r="F13" s="5" t="n">
        <v>20</v>
      </c>
      <c r="G13" s="5" t="n">
        <v>86</v>
      </c>
      <c r="H13" s="5" t="n">
        <v>1</v>
      </c>
      <c r="I13" s="5" t="n">
        <v>128</v>
      </c>
      <c r="J13" s="4" t="s">
        <v>186</v>
      </c>
      <c r="K13" s="4" t="s">
        <v>171</v>
      </c>
      <c r="L13" s="4" t="s">
        <v>172</v>
      </c>
    </row>
    <row r="14" customFormat="false" ht="15" hidden="false" customHeight="false" outlineLevel="0" collapsed="false">
      <c r="A14" s="6" t="s">
        <v>187</v>
      </c>
      <c r="B14" s="6" t="s">
        <v>168</v>
      </c>
      <c r="C14" s="8" t="s">
        <v>169</v>
      </c>
      <c r="D14" s="6"/>
      <c r="E14" s="7" t="n">
        <v>0</v>
      </c>
      <c r="F14" s="7" t="n">
        <v>19</v>
      </c>
      <c r="G14" s="7" t="n">
        <v>51</v>
      </c>
      <c r="H14" s="7" t="n">
        <v>1</v>
      </c>
      <c r="I14" s="7" t="n">
        <v>64</v>
      </c>
      <c r="J14" s="6" t="s">
        <v>177</v>
      </c>
      <c r="K14" s="6" t="s">
        <v>171</v>
      </c>
      <c r="L14" s="6" t="s">
        <v>172</v>
      </c>
    </row>
    <row r="15" customFormat="false" ht="15" hidden="false" customHeight="false" outlineLevel="0" collapsed="false">
      <c r="A15" s="4" t="s">
        <v>188</v>
      </c>
      <c r="B15" s="4" t="s">
        <v>168</v>
      </c>
      <c r="C15" s="8" t="s">
        <v>169</v>
      </c>
      <c r="D15" s="4"/>
      <c r="E15" s="5" t="n">
        <v>0</v>
      </c>
      <c r="F15" s="5" t="n">
        <v>17</v>
      </c>
      <c r="G15" s="5" t="n">
        <v>24</v>
      </c>
      <c r="H15" s="5" t="n">
        <v>3</v>
      </c>
      <c r="I15" s="5" t="n">
        <v>64</v>
      </c>
      <c r="J15" s="4" t="s">
        <v>170</v>
      </c>
      <c r="K15" s="4" t="s">
        <v>171</v>
      </c>
      <c r="L15" s="4" t="s">
        <v>172</v>
      </c>
    </row>
    <row r="16" customFormat="false" ht="15" hidden="false" customHeight="false" outlineLevel="0" collapsed="false">
      <c r="A16" s="6" t="s">
        <v>189</v>
      </c>
      <c r="B16" s="6" t="s">
        <v>168</v>
      </c>
      <c r="C16" s="8" t="s">
        <v>169</v>
      </c>
      <c r="D16" s="6"/>
      <c r="E16" s="7" t="n">
        <v>0</v>
      </c>
      <c r="F16" s="7" t="n">
        <v>16</v>
      </c>
      <c r="G16" s="7" t="n">
        <v>79</v>
      </c>
      <c r="H16" s="7" t="n">
        <v>1</v>
      </c>
      <c r="I16" s="7" t="n">
        <v>64</v>
      </c>
      <c r="J16" s="6" t="s">
        <v>190</v>
      </c>
      <c r="K16" s="6" t="s">
        <v>171</v>
      </c>
      <c r="L16" s="6" t="s">
        <v>172</v>
      </c>
    </row>
    <row r="17" customFormat="false" ht="15" hidden="false" customHeight="false" outlineLevel="0" collapsed="false">
      <c r="A17" s="4" t="s">
        <v>191</v>
      </c>
      <c r="B17" s="4" t="s">
        <v>168</v>
      </c>
      <c r="C17" s="8" t="s">
        <v>169</v>
      </c>
      <c r="D17" s="4"/>
      <c r="E17" s="5" t="n">
        <v>0</v>
      </c>
      <c r="F17" s="5" t="n">
        <v>14</v>
      </c>
      <c r="G17" s="5" t="n">
        <v>41</v>
      </c>
      <c r="H17" s="5" t="n">
        <v>2</v>
      </c>
      <c r="I17" s="5" t="n">
        <v>128</v>
      </c>
      <c r="J17" s="4" t="s">
        <v>192</v>
      </c>
      <c r="K17" s="4" t="s">
        <v>171</v>
      </c>
      <c r="L17" s="4" t="s">
        <v>172</v>
      </c>
    </row>
    <row r="18" customFormat="false" ht="15" hidden="false" customHeight="false" outlineLevel="0" collapsed="false">
      <c r="A18" s="6" t="s">
        <v>193</v>
      </c>
      <c r="B18" s="6" t="s">
        <v>168</v>
      </c>
      <c r="C18" s="8" t="s">
        <v>169</v>
      </c>
      <c r="D18" s="6"/>
      <c r="E18" s="7" t="n">
        <v>0</v>
      </c>
      <c r="F18" s="7" t="n">
        <v>13</v>
      </c>
      <c r="G18" s="7" t="n">
        <v>35</v>
      </c>
      <c r="H18" s="7" t="n">
        <v>4</v>
      </c>
      <c r="I18" s="7" t="n">
        <v>128</v>
      </c>
      <c r="J18" s="6" t="s">
        <v>170</v>
      </c>
      <c r="K18" s="6" t="s">
        <v>171</v>
      </c>
      <c r="L18" s="6" t="s">
        <v>172</v>
      </c>
    </row>
    <row r="19" customFormat="false" ht="15" hidden="false" customHeight="false" outlineLevel="0" collapsed="false">
      <c r="A19" s="4" t="s">
        <v>194</v>
      </c>
      <c r="B19" s="4" t="s">
        <v>168</v>
      </c>
      <c r="C19" s="8" t="s">
        <v>169</v>
      </c>
      <c r="D19" s="4"/>
      <c r="E19" s="5" t="n">
        <v>0</v>
      </c>
      <c r="F19" s="5" t="n">
        <v>12</v>
      </c>
      <c r="G19" s="5" t="n">
        <v>26</v>
      </c>
      <c r="H19" s="5" t="n">
        <v>3</v>
      </c>
      <c r="I19" s="5" t="n">
        <v>64</v>
      </c>
      <c r="J19" s="4" t="s">
        <v>195</v>
      </c>
      <c r="K19" s="4" t="s">
        <v>171</v>
      </c>
      <c r="L19" s="4" t="s">
        <v>172</v>
      </c>
    </row>
    <row r="20" customFormat="false" ht="15" hidden="false" customHeight="false" outlineLevel="0" collapsed="false">
      <c r="A20" s="6" t="s">
        <v>196</v>
      </c>
      <c r="B20" s="6" t="s">
        <v>3</v>
      </c>
      <c r="C20" s="8" t="s">
        <v>169</v>
      </c>
      <c r="D20" s="6"/>
      <c r="E20" s="7" t="n">
        <v>0</v>
      </c>
      <c r="F20" s="7" t="n">
        <v>10</v>
      </c>
      <c r="G20" s="7" t="n">
        <v>48</v>
      </c>
      <c r="H20" s="7" t="n">
        <v>1</v>
      </c>
      <c r="I20" s="7" t="n">
        <v>128</v>
      </c>
      <c r="J20" s="6" t="s">
        <v>197</v>
      </c>
      <c r="K20" s="6" t="s">
        <v>198</v>
      </c>
      <c r="L20" s="6" t="s">
        <v>172</v>
      </c>
    </row>
    <row r="21" customFormat="false" ht="15" hidden="false" customHeight="false" outlineLevel="0" collapsed="false">
      <c r="A21" s="4" t="s">
        <v>199</v>
      </c>
      <c r="B21" s="4" t="s">
        <v>168</v>
      </c>
      <c r="C21" s="8" t="s">
        <v>169</v>
      </c>
      <c r="D21" s="4"/>
      <c r="E21" s="5" t="n">
        <v>0</v>
      </c>
      <c r="F21" s="5" t="n">
        <v>9</v>
      </c>
      <c r="G21" s="5" t="n">
        <v>21</v>
      </c>
      <c r="H21" s="5" t="n">
        <v>3</v>
      </c>
      <c r="I21" s="5" t="n">
        <v>64</v>
      </c>
      <c r="J21" s="4" t="s">
        <v>200</v>
      </c>
      <c r="K21" s="4" t="s">
        <v>171</v>
      </c>
      <c r="L21" s="4" t="s">
        <v>201</v>
      </c>
    </row>
    <row r="22" customFormat="false" ht="15" hidden="false" customHeight="false" outlineLevel="0" collapsed="false">
      <c r="A22" s="6" t="s">
        <v>202</v>
      </c>
      <c r="B22" s="6" t="s">
        <v>168</v>
      </c>
      <c r="C22" s="8" t="s">
        <v>169</v>
      </c>
      <c r="D22" s="6"/>
      <c r="E22" s="7" t="n">
        <v>0</v>
      </c>
      <c r="F22" s="7" t="n">
        <v>9</v>
      </c>
      <c r="G22" s="7" t="n">
        <v>10</v>
      </c>
      <c r="H22" s="7" t="n">
        <v>6</v>
      </c>
      <c r="I22" s="7" t="n">
        <v>64</v>
      </c>
      <c r="J22" s="6" t="s">
        <v>203</v>
      </c>
      <c r="K22" s="6" t="s">
        <v>171</v>
      </c>
      <c r="L22" s="6" t="s">
        <v>172</v>
      </c>
    </row>
    <row r="23" customFormat="false" ht="15" hidden="false" customHeight="false" outlineLevel="0" collapsed="false">
      <c r="A23" s="4" t="s">
        <v>204</v>
      </c>
      <c r="B23" s="4" t="s">
        <v>168</v>
      </c>
      <c r="C23" s="8" t="s">
        <v>169</v>
      </c>
      <c r="D23" s="4"/>
      <c r="E23" s="5" t="n">
        <v>0</v>
      </c>
      <c r="F23" s="5" t="n">
        <v>8</v>
      </c>
      <c r="G23" s="5" t="n">
        <v>12</v>
      </c>
      <c r="H23" s="5" t="n">
        <v>3</v>
      </c>
      <c r="I23" s="5" t="n">
        <v>128</v>
      </c>
      <c r="J23" s="4" t="s">
        <v>205</v>
      </c>
      <c r="K23" s="4" t="s">
        <v>171</v>
      </c>
      <c r="L23" s="4" t="s">
        <v>172</v>
      </c>
    </row>
    <row r="24" customFormat="false" ht="15" hidden="false" customHeight="false" outlineLevel="0" collapsed="false">
      <c r="A24" s="6" t="s">
        <v>206</v>
      </c>
      <c r="B24" s="6" t="s">
        <v>168</v>
      </c>
      <c r="C24" s="8" t="s">
        <v>169</v>
      </c>
      <c r="D24" s="6"/>
      <c r="E24" s="7" t="n">
        <v>0</v>
      </c>
      <c r="F24" s="7" t="n">
        <v>8</v>
      </c>
      <c r="G24" s="7" t="n">
        <v>4</v>
      </c>
      <c r="H24" s="7" t="n">
        <v>10</v>
      </c>
      <c r="I24" s="7" t="n">
        <v>64</v>
      </c>
      <c r="J24" s="6" t="s">
        <v>177</v>
      </c>
      <c r="K24" s="6" t="s">
        <v>171</v>
      </c>
      <c r="L24" s="6" t="s">
        <v>172</v>
      </c>
    </row>
    <row r="25" customFormat="false" ht="15" hidden="false" customHeight="false" outlineLevel="0" collapsed="false">
      <c r="A25" s="4" t="s">
        <v>207</v>
      </c>
      <c r="B25" s="4" t="s">
        <v>168</v>
      </c>
      <c r="C25" s="8" t="s">
        <v>169</v>
      </c>
      <c r="D25" s="4"/>
      <c r="E25" s="5" t="n">
        <v>0</v>
      </c>
      <c r="F25" s="5" t="n">
        <v>8</v>
      </c>
      <c r="G25" s="5" t="n">
        <v>2</v>
      </c>
      <c r="H25" s="5" t="n">
        <v>100</v>
      </c>
      <c r="I25" s="5" t="n">
        <v>256</v>
      </c>
      <c r="J25" s="4" t="s">
        <v>208</v>
      </c>
      <c r="K25" s="4" t="s">
        <v>209</v>
      </c>
      <c r="L25" s="4" t="s">
        <v>172</v>
      </c>
    </row>
    <row r="26" customFormat="false" ht="15" hidden="false" customHeight="false" outlineLevel="0" collapsed="false">
      <c r="A26" s="6" t="s">
        <v>210</v>
      </c>
      <c r="B26" s="6" t="s">
        <v>3</v>
      </c>
      <c r="C26" s="8" t="s">
        <v>169</v>
      </c>
      <c r="D26" s="6"/>
      <c r="E26" s="7" t="n">
        <v>0</v>
      </c>
      <c r="F26" s="7" t="n">
        <v>6</v>
      </c>
      <c r="G26" s="7" t="n">
        <v>57</v>
      </c>
      <c r="H26" s="7" t="n">
        <v>1</v>
      </c>
      <c r="I26" s="7" t="n">
        <v>64</v>
      </c>
      <c r="J26" s="6" t="s">
        <v>211</v>
      </c>
      <c r="K26" s="6" t="s">
        <v>198</v>
      </c>
      <c r="L26" s="6" t="s">
        <v>172</v>
      </c>
    </row>
    <row r="27" customFormat="false" ht="15" hidden="false" customHeight="false" outlineLevel="0" collapsed="false">
      <c r="A27" s="4" t="s">
        <v>212</v>
      </c>
      <c r="B27" s="4" t="s">
        <v>168</v>
      </c>
      <c r="C27" s="8" t="s">
        <v>169</v>
      </c>
      <c r="D27" s="4"/>
      <c r="E27" s="5" t="n">
        <v>0</v>
      </c>
      <c r="F27" s="5" t="n">
        <v>5</v>
      </c>
      <c r="G27" s="5" t="n">
        <v>28</v>
      </c>
      <c r="H27" s="5" t="n">
        <v>13</v>
      </c>
      <c r="I27" s="5" t="n">
        <v>256</v>
      </c>
      <c r="J27" s="4" t="s">
        <v>213</v>
      </c>
      <c r="K27" s="4" t="s">
        <v>171</v>
      </c>
      <c r="L27" s="4" t="s">
        <v>172</v>
      </c>
    </row>
    <row r="28" customFormat="false" ht="15" hidden="false" customHeight="false" outlineLevel="0" collapsed="false">
      <c r="A28" s="6" t="s">
        <v>214</v>
      </c>
      <c r="B28" s="6" t="s">
        <v>3</v>
      </c>
      <c r="C28" s="8" t="s">
        <v>169</v>
      </c>
      <c r="D28" s="6"/>
      <c r="E28" s="7" t="n">
        <v>0</v>
      </c>
      <c r="F28" s="7" t="n">
        <v>5</v>
      </c>
      <c r="G28" s="7" t="n">
        <v>6</v>
      </c>
      <c r="H28" s="7" t="n">
        <v>22</v>
      </c>
      <c r="I28" s="7" t="n">
        <v>128</v>
      </c>
      <c r="J28" s="6" t="s">
        <v>215</v>
      </c>
      <c r="K28" s="6" t="s">
        <v>198</v>
      </c>
      <c r="L28" s="6" t="s">
        <v>172</v>
      </c>
    </row>
    <row r="29" customFormat="false" ht="15" hidden="false" customHeight="false" outlineLevel="0" collapsed="false">
      <c r="A29" s="4" t="s">
        <v>216</v>
      </c>
      <c r="B29" s="4" t="s">
        <v>168</v>
      </c>
      <c r="C29" s="8" t="s">
        <v>169</v>
      </c>
      <c r="D29" s="4"/>
      <c r="E29" s="5" t="n">
        <v>0</v>
      </c>
      <c r="F29" s="5" t="n">
        <v>5</v>
      </c>
      <c r="G29" s="5" t="n">
        <v>2</v>
      </c>
      <c r="H29" s="5" t="n">
        <v>21</v>
      </c>
      <c r="I29" s="5" t="n">
        <v>64</v>
      </c>
      <c r="J29" s="4" t="s">
        <v>217</v>
      </c>
      <c r="K29" s="4" t="s">
        <v>171</v>
      </c>
      <c r="L29" s="4" t="s">
        <v>172</v>
      </c>
    </row>
    <row r="30" customFormat="false" ht="15" hidden="false" customHeight="false" outlineLevel="0" collapsed="false">
      <c r="A30" s="6" t="s">
        <v>218</v>
      </c>
      <c r="B30" s="6" t="s">
        <v>168</v>
      </c>
      <c r="C30" s="8" t="s">
        <v>169</v>
      </c>
      <c r="D30" s="6"/>
      <c r="E30" s="7" t="n">
        <v>0</v>
      </c>
      <c r="F30" s="7" t="n">
        <v>5</v>
      </c>
      <c r="G30" s="7" t="n">
        <v>2</v>
      </c>
      <c r="H30" s="7" t="n">
        <v>77</v>
      </c>
      <c r="I30" s="7" t="n">
        <v>256</v>
      </c>
      <c r="J30" s="6" t="s">
        <v>184</v>
      </c>
      <c r="K30" s="6" t="s">
        <v>209</v>
      </c>
      <c r="L30" s="6" t="s">
        <v>172</v>
      </c>
    </row>
    <row r="31" customFormat="false" ht="15" hidden="false" customHeight="false" outlineLevel="0" collapsed="false">
      <c r="A31" s="4" t="s">
        <v>219</v>
      </c>
      <c r="B31" s="4" t="s">
        <v>168</v>
      </c>
      <c r="C31" s="8" t="s">
        <v>169</v>
      </c>
      <c r="D31" s="4"/>
      <c r="E31" s="5" t="n">
        <v>0</v>
      </c>
      <c r="F31" s="5" t="n">
        <v>4</v>
      </c>
      <c r="G31" s="5" t="n">
        <v>16</v>
      </c>
      <c r="H31" s="5" t="n">
        <v>8</v>
      </c>
      <c r="I31" s="5" t="n">
        <v>256</v>
      </c>
      <c r="J31" s="4" t="s">
        <v>197</v>
      </c>
      <c r="K31" s="4" t="s">
        <v>209</v>
      </c>
      <c r="L31" s="4" t="s">
        <v>172</v>
      </c>
    </row>
    <row r="32" customFormat="false" ht="15" hidden="false" customHeight="false" outlineLevel="0" collapsed="false">
      <c r="A32" s="6" t="s">
        <v>220</v>
      </c>
      <c r="B32" s="6" t="s">
        <v>168</v>
      </c>
      <c r="C32" s="8" t="s">
        <v>169</v>
      </c>
      <c r="D32" s="6"/>
      <c r="E32" s="7" t="n">
        <v>0</v>
      </c>
      <c r="F32" s="7" t="n">
        <v>4</v>
      </c>
      <c r="G32" s="7" t="n">
        <v>10</v>
      </c>
      <c r="H32" s="7" t="n">
        <v>9</v>
      </c>
      <c r="I32" s="7" t="n">
        <v>128</v>
      </c>
      <c r="J32" s="6" t="s">
        <v>208</v>
      </c>
      <c r="K32" s="6" t="s">
        <v>209</v>
      </c>
      <c r="L32" s="6" t="s">
        <v>172</v>
      </c>
    </row>
    <row r="33" customFormat="false" ht="15" hidden="false" customHeight="false" outlineLevel="0" collapsed="false">
      <c r="A33" s="4" t="s">
        <v>221</v>
      </c>
      <c r="B33" s="4" t="s">
        <v>168</v>
      </c>
      <c r="C33" s="8" t="s">
        <v>169</v>
      </c>
      <c r="D33" s="4"/>
      <c r="E33" s="5" t="n">
        <v>0</v>
      </c>
      <c r="F33" s="5" t="n">
        <v>4</v>
      </c>
      <c r="G33" s="5" t="n">
        <v>8</v>
      </c>
      <c r="H33" s="5" t="n">
        <v>7</v>
      </c>
      <c r="I33" s="5" t="n">
        <v>64</v>
      </c>
      <c r="J33" s="4" t="s">
        <v>222</v>
      </c>
      <c r="K33" s="4" t="s">
        <v>171</v>
      </c>
      <c r="L33" s="4" t="s">
        <v>172</v>
      </c>
    </row>
    <row r="34" customFormat="false" ht="15" hidden="false" customHeight="false" outlineLevel="0" collapsed="false">
      <c r="A34" s="6" t="s">
        <v>223</v>
      </c>
      <c r="B34" s="6" t="s">
        <v>3</v>
      </c>
      <c r="C34" s="8" t="s">
        <v>169</v>
      </c>
      <c r="D34" s="6"/>
      <c r="E34" s="7" t="n">
        <v>0</v>
      </c>
      <c r="F34" s="7" t="n">
        <v>4</v>
      </c>
      <c r="G34" s="7" t="n">
        <v>1</v>
      </c>
      <c r="H34" s="7" t="n">
        <v>41</v>
      </c>
      <c r="I34" s="7" t="n">
        <v>128</v>
      </c>
      <c r="J34" s="6" t="s">
        <v>200</v>
      </c>
      <c r="K34" s="6" t="s">
        <v>224</v>
      </c>
      <c r="L34" s="6" t="s">
        <v>201</v>
      </c>
    </row>
    <row r="35" customFormat="false" ht="15" hidden="false" customHeight="false" outlineLevel="0" collapsed="false">
      <c r="A35" s="4" t="s">
        <v>225</v>
      </c>
      <c r="B35" s="4" t="s">
        <v>168</v>
      </c>
      <c r="C35" s="8" t="s">
        <v>169</v>
      </c>
      <c r="D35" s="4"/>
      <c r="E35" s="5" t="n">
        <v>0</v>
      </c>
      <c r="F35" s="5" t="n">
        <v>4</v>
      </c>
      <c r="G35" s="5" t="n">
        <v>0</v>
      </c>
      <c r="H35" s="5" t="n">
        <v>201</v>
      </c>
      <c r="I35" s="5" t="n">
        <v>256</v>
      </c>
      <c r="J35" s="4" t="s">
        <v>215</v>
      </c>
      <c r="K35" s="4" t="s">
        <v>209</v>
      </c>
      <c r="L35" s="4" t="s">
        <v>172</v>
      </c>
    </row>
    <row r="36" customFormat="false" ht="15" hidden="false" customHeight="false" outlineLevel="0" collapsed="false">
      <c r="A36" s="6" t="s">
        <v>226</v>
      </c>
      <c r="B36" s="6" t="s">
        <v>168</v>
      </c>
      <c r="C36" s="8" t="s">
        <v>169</v>
      </c>
      <c r="D36" s="6"/>
      <c r="E36" s="7" t="n">
        <v>0</v>
      </c>
      <c r="F36" s="7" t="n">
        <v>3</v>
      </c>
      <c r="G36" s="7" t="n">
        <v>25</v>
      </c>
      <c r="H36" s="7" t="n">
        <v>1</v>
      </c>
      <c r="I36" s="7" t="n">
        <v>64</v>
      </c>
      <c r="J36" s="6" t="s">
        <v>190</v>
      </c>
      <c r="K36" s="6" t="s">
        <v>171</v>
      </c>
      <c r="L36" s="6" t="s">
        <v>172</v>
      </c>
    </row>
    <row r="37" customFormat="false" ht="15" hidden="false" customHeight="false" outlineLevel="0" collapsed="false">
      <c r="A37" s="4" t="s">
        <v>227</v>
      </c>
      <c r="B37" s="4" t="s">
        <v>168</v>
      </c>
      <c r="C37" s="8" t="s">
        <v>169</v>
      </c>
      <c r="D37" s="4"/>
      <c r="E37" s="5" t="n">
        <v>0</v>
      </c>
      <c r="F37" s="5" t="n">
        <v>3</v>
      </c>
      <c r="G37" s="5" t="n">
        <v>6</v>
      </c>
      <c r="H37" s="5" t="n">
        <v>6</v>
      </c>
      <c r="I37" s="5" t="n">
        <v>64</v>
      </c>
      <c r="J37" s="4" t="s">
        <v>184</v>
      </c>
      <c r="K37" s="4" t="s">
        <v>171</v>
      </c>
      <c r="L37" s="4" t="s">
        <v>172</v>
      </c>
    </row>
    <row r="38" customFormat="false" ht="15" hidden="false" customHeight="false" outlineLevel="0" collapsed="false">
      <c r="A38" s="6" t="s">
        <v>228</v>
      </c>
      <c r="B38" s="6" t="s">
        <v>3</v>
      </c>
      <c r="C38" s="8" t="s">
        <v>169</v>
      </c>
      <c r="D38" s="6"/>
      <c r="E38" s="7" t="n">
        <v>0</v>
      </c>
      <c r="F38" s="7" t="n">
        <v>3</v>
      </c>
      <c r="G38" s="7" t="n">
        <v>3</v>
      </c>
      <c r="H38" s="7" t="n">
        <v>19</v>
      </c>
      <c r="I38" s="7" t="n">
        <v>128</v>
      </c>
      <c r="J38" s="6" t="s">
        <v>177</v>
      </c>
      <c r="K38" s="6" t="s">
        <v>229</v>
      </c>
      <c r="L38" s="6" t="s">
        <v>201</v>
      </c>
    </row>
    <row r="39" customFormat="false" ht="15" hidden="false" customHeight="false" outlineLevel="0" collapsed="false">
      <c r="A39" s="4" t="s">
        <v>230</v>
      </c>
      <c r="B39" s="4" t="s">
        <v>168</v>
      </c>
      <c r="C39" s="8" t="s">
        <v>169</v>
      </c>
      <c r="D39" s="4"/>
      <c r="E39" s="5" t="n">
        <v>0</v>
      </c>
      <c r="F39" s="5" t="n">
        <v>3</v>
      </c>
      <c r="G39" s="5" t="n">
        <v>2</v>
      </c>
      <c r="H39" s="5" t="n">
        <v>21</v>
      </c>
      <c r="I39" s="5" t="n">
        <v>64</v>
      </c>
      <c r="J39" s="4" t="s">
        <v>190</v>
      </c>
      <c r="K39" s="4" t="s">
        <v>171</v>
      </c>
      <c r="L39" s="4" t="s">
        <v>172</v>
      </c>
    </row>
    <row r="40" customFormat="false" ht="15" hidden="false" customHeight="false" outlineLevel="0" collapsed="false">
      <c r="A40" s="6" t="s">
        <v>231</v>
      </c>
      <c r="B40" s="6" t="s">
        <v>168</v>
      </c>
      <c r="C40" s="8" t="s">
        <v>169</v>
      </c>
      <c r="D40" s="6"/>
      <c r="E40" s="7" t="n">
        <v>0</v>
      </c>
      <c r="F40" s="7" t="n">
        <v>3</v>
      </c>
      <c r="G40" s="7" t="n">
        <v>1</v>
      </c>
      <c r="H40" s="7" t="n">
        <v>27</v>
      </c>
      <c r="I40" s="7" t="n">
        <v>64</v>
      </c>
      <c r="J40" s="6" t="s">
        <v>232</v>
      </c>
      <c r="K40" s="6" t="s">
        <v>171</v>
      </c>
      <c r="L40" s="6" t="s">
        <v>172</v>
      </c>
    </row>
    <row r="41" customFormat="false" ht="15" hidden="false" customHeight="false" outlineLevel="0" collapsed="false">
      <c r="A41" s="4" t="s">
        <v>233</v>
      </c>
      <c r="B41" s="4" t="s">
        <v>168</v>
      </c>
      <c r="C41" s="8" t="s">
        <v>169</v>
      </c>
      <c r="D41" s="4"/>
      <c r="E41" s="5" t="n">
        <v>0</v>
      </c>
      <c r="F41" s="5" t="n">
        <v>2</v>
      </c>
      <c r="G41" s="5" t="n">
        <v>16</v>
      </c>
      <c r="H41" s="5" t="n">
        <v>2</v>
      </c>
      <c r="I41" s="5" t="n">
        <v>64</v>
      </c>
      <c r="J41" s="4" t="s">
        <v>234</v>
      </c>
      <c r="K41" s="4" t="s">
        <v>171</v>
      </c>
      <c r="L41" s="4" t="s">
        <v>172</v>
      </c>
    </row>
    <row r="42" customFormat="false" ht="15" hidden="false" customHeight="false" outlineLevel="0" collapsed="false">
      <c r="A42" s="6" t="s">
        <v>235</v>
      </c>
      <c r="B42" s="6" t="s">
        <v>168</v>
      </c>
      <c r="C42" s="8" t="s">
        <v>169</v>
      </c>
      <c r="D42" s="6"/>
      <c r="E42" s="7" t="n">
        <v>0</v>
      </c>
      <c r="F42" s="7" t="n">
        <v>2</v>
      </c>
      <c r="G42" s="7" t="n">
        <v>16</v>
      </c>
      <c r="H42" s="7" t="n">
        <v>8</v>
      </c>
      <c r="I42" s="7" t="n">
        <v>256</v>
      </c>
      <c r="J42" s="6" t="s">
        <v>211</v>
      </c>
      <c r="K42" s="6" t="s">
        <v>209</v>
      </c>
      <c r="L42" s="6" t="s">
        <v>172</v>
      </c>
    </row>
    <row r="43" customFormat="false" ht="15" hidden="false" customHeight="false" outlineLevel="0" collapsed="false">
      <c r="A43" s="4" t="s">
        <v>236</v>
      </c>
      <c r="B43" s="4" t="s">
        <v>168</v>
      </c>
      <c r="C43" s="8" t="s">
        <v>169</v>
      </c>
      <c r="D43" s="4"/>
      <c r="E43" s="5" t="n">
        <v>0</v>
      </c>
      <c r="F43" s="5" t="n">
        <v>2</v>
      </c>
      <c r="G43" s="5" t="n">
        <v>10</v>
      </c>
      <c r="H43" s="5" t="n">
        <v>4</v>
      </c>
      <c r="I43" s="5" t="n">
        <v>64</v>
      </c>
      <c r="J43" s="4" t="s">
        <v>237</v>
      </c>
      <c r="K43" s="4" t="s">
        <v>171</v>
      </c>
      <c r="L43" s="4" t="s">
        <v>172</v>
      </c>
    </row>
    <row r="44" customFormat="false" ht="15" hidden="false" customHeight="false" outlineLevel="0" collapsed="false">
      <c r="A44" s="6" t="s">
        <v>238</v>
      </c>
      <c r="B44" s="6" t="s">
        <v>168</v>
      </c>
      <c r="C44" s="8" t="s">
        <v>169</v>
      </c>
      <c r="D44" s="6"/>
      <c r="E44" s="7" t="n">
        <v>0</v>
      </c>
      <c r="F44" s="7" t="n">
        <v>2</v>
      </c>
      <c r="G44" s="7" t="n">
        <v>10</v>
      </c>
      <c r="H44" s="7" t="n">
        <v>3</v>
      </c>
      <c r="I44" s="7" t="n">
        <v>64</v>
      </c>
      <c r="J44" s="6" t="s">
        <v>239</v>
      </c>
      <c r="K44" s="6" t="s">
        <v>171</v>
      </c>
      <c r="L44" s="6" t="s">
        <v>172</v>
      </c>
    </row>
    <row r="45" customFormat="false" ht="15" hidden="false" customHeight="false" outlineLevel="0" collapsed="false">
      <c r="A45" s="4" t="s">
        <v>240</v>
      </c>
      <c r="B45" s="4" t="s">
        <v>168</v>
      </c>
      <c r="C45" s="8" t="s">
        <v>169</v>
      </c>
      <c r="D45" s="4"/>
      <c r="E45" s="5" t="n">
        <v>0</v>
      </c>
      <c r="F45" s="5" t="n">
        <v>2</v>
      </c>
      <c r="G45" s="5" t="n">
        <v>10</v>
      </c>
      <c r="H45" s="5" t="n">
        <v>9</v>
      </c>
      <c r="I45" s="5" t="n">
        <v>256</v>
      </c>
      <c r="J45" s="4" t="s">
        <v>197</v>
      </c>
      <c r="K45" s="4" t="s">
        <v>209</v>
      </c>
      <c r="L45" s="4" t="s">
        <v>172</v>
      </c>
    </row>
    <row r="46" customFormat="false" ht="15" hidden="false" customHeight="false" outlineLevel="0" collapsed="false">
      <c r="A46" s="6" t="s">
        <v>241</v>
      </c>
      <c r="B46" s="6" t="s">
        <v>168</v>
      </c>
      <c r="C46" s="8" t="s">
        <v>169</v>
      </c>
      <c r="D46" s="6"/>
      <c r="E46" s="7" t="n">
        <v>0</v>
      </c>
      <c r="F46" s="7" t="n">
        <v>2</v>
      </c>
      <c r="G46" s="7" t="n">
        <v>7</v>
      </c>
      <c r="H46" s="7" t="n">
        <v>6</v>
      </c>
      <c r="I46" s="7" t="n">
        <v>64</v>
      </c>
      <c r="J46" s="6" t="s">
        <v>234</v>
      </c>
      <c r="K46" s="6" t="s">
        <v>171</v>
      </c>
      <c r="L46" s="6" t="s">
        <v>172</v>
      </c>
    </row>
    <row r="47" customFormat="false" ht="15" hidden="false" customHeight="false" outlineLevel="0" collapsed="false">
      <c r="A47" s="4" t="s">
        <v>242</v>
      </c>
      <c r="B47" s="4" t="s">
        <v>168</v>
      </c>
      <c r="C47" s="8" t="s">
        <v>169</v>
      </c>
      <c r="D47" s="4"/>
      <c r="E47" s="5" t="n">
        <v>0</v>
      </c>
      <c r="F47" s="5" t="n">
        <v>2</v>
      </c>
      <c r="G47" s="5" t="n">
        <v>6</v>
      </c>
      <c r="H47" s="5" t="n">
        <v>52</v>
      </c>
      <c r="I47" s="5" t="n">
        <v>256</v>
      </c>
      <c r="J47" s="4" t="s">
        <v>211</v>
      </c>
      <c r="K47" s="4" t="s">
        <v>209</v>
      </c>
      <c r="L47" s="4" t="s">
        <v>172</v>
      </c>
    </row>
    <row r="48" customFormat="false" ht="15" hidden="false" customHeight="false" outlineLevel="0" collapsed="false">
      <c r="A48" s="6" t="s">
        <v>243</v>
      </c>
      <c r="B48" s="6" t="s">
        <v>3</v>
      </c>
      <c r="C48" s="8" t="s">
        <v>169</v>
      </c>
      <c r="D48" s="6"/>
      <c r="E48" s="7" t="n">
        <v>0</v>
      </c>
      <c r="F48" s="7" t="n">
        <v>2</v>
      </c>
      <c r="G48" s="7" t="n">
        <v>4</v>
      </c>
      <c r="H48" s="7" t="n">
        <v>6</v>
      </c>
      <c r="I48" s="7" t="n">
        <v>32</v>
      </c>
      <c r="J48" s="6" t="s">
        <v>244</v>
      </c>
      <c r="K48" s="6" t="s">
        <v>245</v>
      </c>
      <c r="L48" s="6" t="s">
        <v>172</v>
      </c>
    </row>
    <row r="49" customFormat="false" ht="15" hidden="false" customHeight="false" outlineLevel="0" collapsed="false">
      <c r="A49" s="4" t="s">
        <v>246</v>
      </c>
      <c r="B49" s="4" t="s">
        <v>168</v>
      </c>
      <c r="C49" s="8" t="s">
        <v>169</v>
      </c>
      <c r="D49" s="4"/>
      <c r="E49" s="5" t="n">
        <v>0</v>
      </c>
      <c r="F49" s="5" t="n">
        <v>2</v>
      </c>
      <c r="G49" s="5" t="n">
        <v>1</v>
      </c>
      <c r="H49" s="5" t="n">
        <v>66</v>
      </c>
      <c r="I49" s="5" t="n">
        <v>256</v>
      </c>
      <c r="J49" s="4" t="s">
        <v>205</v>
      </c>
      <c r="K49" s="4" t="s">
        <v>209</v>
      </c>
      <c r="L49" s="4" t="s">
        <v>172</v>
      </c>
    </row>
    <row r="50" customFormat="false" ht="15" hidden="false" customHeight="false" outlineLevel="0" collapsed="false">
      <c r="A50" s="6" t="s">
        <v>247</v>
      </c>
      <c r="B50" s="6" t="s">
        <v>168</v>
      </c>
      <c r="C50" s="8" t="s">
        <v>169</v>
      </c>
      <c r="D50" s="6"/>
      <c r="E50" s="7" t="n">
        <v>0</v>
      </c>
      <c r="F50" s="7" t="n">
        <v>2</v>
      </c>
      <c r="G50" s="7" t="n">
        <v>1</v>
      </c>
      <c r="H50" s="7" t="n">
        <v>58</v>
      </c>
      <c r="I50" s="7" t="n">
        <v>128</v>
      </c>
      <c r="J50" s="6" t="s">
        <v>248</v>
      </c>
      <c r="K50" s="6" t="s">
        <v>209</v>
      </c>
      <c r="L50" s="6" t="s">
        <v>172</v>
      </c>
    </row>
    <row r="51" customFormat="false" ht="15" hidden="false" customHeight="false" outlineLevel="0" collapsed="false">
      <c r="A51" s="4" t="s">
        <v>249</v>
      </c>
      <c r="B51" s="4" t="s">
        <v>3</v>
      </c>
      <c r="C51" s="8" t="s">
        <v>169</v>
      </c>
      <c r="D51" s="4"/>
      <c r="E51" s="5" t="n">
        <v>0</v>
      </c>
      <c r="F51" s="5" t="n">
        <v>2</v>
      </c>
      <c r="G51" s="5" t="n">
        <v>1</v>
      </c>
      <c r="H51" s="5" t="n">
        <v>66</v>
      </c>
      <c r="I51" s="5" t="n">
        <v>256</v>
      </c>
      <c r="J51" s="4" t="s">
        <v>250</v>
      </c>
      <c r="K51" s="4" t="s">
        <v>251</v>
      </c>
      <c r="L51" s="4" t="s">
        <v>201</v>
      </c>
    </row>
    <row r="52" customFormat="false" ht="15" hidden="false" customHeight="false" outlineLevel="0" collapsed="false">
      <c r="A52" s="6" t="s">
        <v>252</v>
      </c>
      <c r="B52" s="6" t="s">
        <v>168</v>
      </c>
      <c r="C52" s="8" t="s">
        <v>169</v>
      </c>
      <c r="D52" s="6"/>
      <c r="E52" s="7" t="n">
        <v>0</v>
      </c>
      <c r="F52" s="7" t="n">
        <v>2</v>
      </c>
      <c r="G52" s="7" t="n">
        <v>0</v>
      </c>
      <c r="H52" s="7" t="n">
        <v>43</v>
      </c>
      <c r="I52" s="7" t="n">
        <v>64</v>
      </c>
      <c r="J52" s="6" t="s">
        <v>211</v>
      </c>
      <c r="K52" s="6" t="s">
        <v>171</v>
      </c>
      <c r="L52" s="6" t="s">
        <v>201</v>
      </c>
    </row>
    <row r="53" customFormat="false" ht="15" hidden="false" customHeight="false" outlineLevel="0" collapsed="false">
      <c r="A53" s="4" t="s">
        <v>253</v>
      </c>
      <c r="B53" s="4" t="s">
        <v>3</v>
      </c>
      <c r="C53" s="8" t="s">
        <v>169</v>
      </c>
      <c r="D53" s="4"/>
      <c r="E53" s="5" t="n">
        <v>0</v>
      </c>
      <c r="F53" s="5" t="n">
        <v>2</v>
      </c>
      <c r="G53" s="5" t="n">
        <v>0</v>
      </c>
      <c r="H53" s="5" t="n">
        <v>95</v>
      </c>
      <c r="I53" s="5" t="n">
        <v>128</v>
      </c>
      <c r="J53" s="4" t="s">
        <v>254</v>
      </c>
      <c r="K53" s="4" t="s">
        <v>251</v>
      </c>
      <c r="L53" s="4" t="s">
        <v>172</v>
      </c>
    </row>
    <row r="54" customFormat="false" ht="15" hidden="false" customHeight="false" outlineLevel="0" collapsed="false">
      <c r="A54" s="6" t="s">
        <v>255</v>
      </c>
      <c r="B54" s="6" t="s">
        <v>3</v>
      </c>
      <c r="C54" s="8" t="s">
        <v>169</v>
      </c>
      <c r="D54" s="6"/>
      <c r="E54" s="7" t="n">
        <v>0</v>
      </c>
      <c r="F54" s="7" t="n">
        <v>1</v>
      </c>
      <c r="G54" s="7" t="n">
        <v>15</v>
      </c>
      <c r="H54" s="7" t="n">
        <v>2</v>
      </c>
      <c r="I54" s="7" t="n">
        <v>64</v>
      </c>
      <c r="J54" s="6" t="s">
        <v>256</v>
      </c>
      <c r="K54" s="6" t="s">
        <v>229</v>
      </c>
      <c r="L54" s="6" t="s">
        <v>172</v>
      </c>
    </row>
    <row r="55" customFormat="false" ht="15" hidden="false" customHeight="false" outlineLevel="0" collapsed="false">
      <c r="A55" s="4" t="s">
        <v>257</v>
      </c>
      <c r="B55" s="4" t="s">
        <v>168</v>
      </c>
      <c r="C55" s="8" t="s">
        <v>169</v>
      </c>
      <c r="D55" s="4"/>
      <c r="E55" s="5" t="n">
        <v>0</v>
      </c>
      <c r="F55" s="5" t="n">
        <v>1</v>
      </c>
      <c r="G55" s="5" t="n">
        <v>3</v>
      </c>
      <c r="H55" s="5" t="n">
        <v>11</v>
      </c>
      <c r="I55" s="5" t="n">
        <v>64</v>
      </c>
      <c r="J55" s="4" t="s">
        <v>222</v>
      </c>
      <c r="K55" s="4" t="s">
        <v>171</v>
      </c>
      <c r="L55" s="4" t="s">
        <v>172</v>
      </c>
    </row>
    <row r="56" customFormat="false" ht="15" hidden="false" customHeight="false" outlineLevel="0" collapsed="false">
      <c r="A56" s="6" t="s">
        <v>258</v>
      </c>
      <c r="B56" s="6" t="s">
        <v>168</v>
      </c>
      <c r="C56" s="8" t="s">
        <v>169</v>
      </c>
      <c r="D56" s="6"/>
      <c r="E56" s="7" t="n">
        <v>0</v>
      </c>
      <c r="F56" s="7" t="n">
        <v>1</v>
      </c>
      <c r="G56" s="7" t="n">
        <v>1</v>
      </c>
      <c r="H56" s="7" t="n">
        <v>30</v>
      </c>
      <c r="I56" s="7" t="n">
        <v>64</v>
      </c>
      <c r="J56" s="6" t="s">
        <v>259</v>
      </c>
      <c r="K56" s="6" t="s">
        <v>171</v>
      </c>
      <c r="L56" s="6" t="s">
        <v>172</v>
      </c>
    </row>
    <row r="57" customFormat="false" ht="15" hidden="false" customHeight="false" outlineLevel="0" collapsed="false">
      <c r="A57" s="4" t="s">
        <v>260</v>
      </c>
      <c r="B57" s="4" t="s">
        <v>168</v>
      </c>
      <c r="C57" s="8" t="s">
        <v>169</v>
      </c>
      <c r="D57" s="4"/>
      <c r="E57" s="5" t="n">
        <v>0</v>
      </c>
      <c r="F57" s="5" t="n">
        <v>1</v>
      </c>
      <c r="G57" s="5" t="n">
        <v>1</v>
      </c>
      <c r="H57" s="5" t="n">
        <v>50</v>
      </c>
      <c r="I57" s="5" t="n">
        <v>128</v>
      </c>
      <c r="J57" s="4" t="s">
        <v>261</v>
      </c>
      <c r="K57" s="4" t="s">
        <v>171</v>
      </c>
      <c r="L57" s="4" t="s">
        <v>172</v>
      </c>
    </row>
    <row r="58" customFormat="false" ht="15" hidden="false" customHeight="false" outlineLevel="0" collapsed="false">
      <c r="A58" s="6" t="s">
        <v>262</v>
      </c>
      <c r="B58" s="6" t="s">
        <v>168</v>
      </c>
      <c r="C58" s="8" t="s">
        <v>169</v>
      </c>
      <c r="D58" s="6"/>
      <c r="E58" s="7" t="n">
        <v>0</v>
      </c>
      <c r="F58" s="7" t="n">
        <v>1</v>
      </c>
      <c r="G58" s="7" t="n">
        <v>1</v>
      </c>
      <c r="H58" s="7" t="n">
        <v>53</v>
      </c>
      <c r="I58" s="7" t="n">
        <v>128</v>
      </c>
      <c r="J58" s="6" t="s">
        <v>263</v>
      </c>
      <c r="K58" s="6" t="s">
        <v>171</v>
      </c>
      <c r="L58" s="6" t="s">
        <v>172</v>
      </c>
    </row>
    <row r="59" customFormat="false" ht="15" hidden="false" customHeight="false" outlineLevel="0" collapsed="false">
      <c r="A59" s="4" t="s">
        <v>264</v>
      </c>
      <c r="B59" s="4" t="s">
        <v>168</v>
      </c>
      <c r="C59" s="8" t="s">
        <v>169</v>
      </c>
      <c r="D59" s="4"/>
      <c r="E59" s="5" t="n">
        <v>0</v>
      </c>
      <c r="F59" s="5" t="n">
        <v>1</v>
      </c>
      <c r="G59" s="5" t="n">
        <v>1</v>
      </c>
      <c r="H59" s="5" t="n">
        <v>35</v>
      </c>
      <c r="I59" s="5" t="n">
        <v>128</v>
      </c>
      <c r="J59" s="4" t="s">
        <v>265</v>
      </c>
      <c r="K59" s="4" t="s">
        <v>209</v>
      </c>
      <c r="L59" s="4" t="s">
        <v>172</v>
      </c>
    </row>
    <row r="60" customFormat="false" ht="15" hidden="false" customHeight="false" outlineLevel="0" collapsed="false">
      <c r="A60" s="6" t="s">
        <v>266</v>
      </c>
      <c r="B60" s="6" t="s">
        <v>168</v>
      </c>
      <c r="C60" s="8" t="s">
        <v>169</v>
      </c>
      <c r="D60" s="6"/>
      <c r="E60" s="7" t="n">
        <v>0</v>
      </c>
      <c r="F60" s="7" t="n">
        <v>1</v>
      </c>
      <c r="G60" s="7" t="n">
        <v>1</v>
      </c>
      <c r="H60" s="7" t="n">
        <v>65</v>
      </c>
      <c r="I60" s="7" t="n">
        <v>256</v>
      </c>
      <c r="J60" s="6" t="s">
        <v>267</v>
      </c>
      <c r="K60" s="6" t="s">
        <v>209</v>
      </c>
      <c r="L60" s="6" t="s">
        <v>172</v>
      </c>
    </row>
    <row r="61" customFormat="false" ht="15" hidden="false" customHeight="false" outlineLevel="0" collapsed="false">
      <c r="A61" s="4" t="s">
        <v>268</v>
      </c>
      <c r="B61" s="4" t="s">
        <v>168</v>
      </c>
      <c r="C61" s="8" t="s">
        <v>169</v>
      </c>
      <c r="D61" s="4"/>
      <c r="E61" s="5" t="n">
        <v>0</v>
      </c>
      <c r="F61" s="5" t="n">
        <v>1</v>
      </c>
      <c r="G61" s="5" t="n">
        <v>0</v>
      </c>
      <c r="H61" s="5" t="n">
        <v>44</v>
      </c>
      <c r="I61" s="5" t="n">
        <v>64</v>
      </c>
      <c r="J61" s="4" t="s">
        <v>269</v>
      </c>
      <c r="K61" s="4" t="s">
        <v>171</v>
      </c>
      <c r="L61" s="4" t="s">
        <v>172</v>
      </c>
    </row>
    <row r="62" customFormat="false" ht="15" hidden="false" customHeight="false" outlineLevel="0" collapsed="false">
      <c r="A62" s="6" t="s">
        <v>270</v>
      </c>
      <c r="B62" s="6" t="s">
        <v>168</v>
      </c>
      <c r="C62" s="8" t="s">
        <v>169</v>
      </c>
      <c r="D62" s="6"/>
      <c r="E62" s="7" t="n">
        <v>0</v>
      </c>
      <c r="F62" s="7" t="n">
        <v>1</v>
      </c>
      <c r="G62" s="7" t="n">
        <v>0</v>
      </c>
      <c r="H62" s="7" t="n">
        <v>36</v>
      </c>
      <c r="I62" s="7" t="n">
        <v>64</v>
      </c>
      <c r="J62" s="6" t="s">
        <v>271</v>
      </c>
      <c r="K62" s="6" t="s">
        <v>171</v>
      </c>
      <c r="L62" s="6" t="s">
        <v>172</v>
      </c>
    </row>
    <row r="63" customFormat="false" ht="15" hidden="false" customHeight="false" outlineLevel="0" collapsed="false">
      <c r="A63" s="4" t="s">
        <v>272</v>
      </c>
      <c r="B63" s="4" t="s">
        <v>168</v>
      </c>
      <c r="C63" s="8" t="s">
        <v>169</v>
      </c>
      <c r="D63" s="4"/>
      <c r="E63" s="5" t="n">
        <v>0</v>
      </c>
      <c r="F63" s="5" t="n">
        <v>1</v>
      </c>
      <c r="G63" s="5" t="n">
        <v>0</v>
      </c>
      <c r="H63" s="5" t="n">
        <v>83</v>
      </c>
      <c r="I63" s="5" t="n">
        <v>128</v>
      </c>
      <c r="J63" s="4" t="s">
        <v>273</v>
      </c>
      <c r="K63" s="4" t="s">
        <v>209</v>
      </c>
      <c r="L63" s="4" t="s">
        <v>172</v>
      </c>
    </row>
    <row r="64" customFormat="false" ht="15" hidden="false" customHeight="false" outlineLevel="0" collapsed="false">
      <c r="A64" s="6" t="s">
        <v>274</v>
      </c>
      <c r="B64" s="6" t="s">
        <v>168</v>
      </c>
      <c r="C64" s="8" t="s">
        <v>169</v>
      </c>
      <c r="D64" s="6"/>
      <c r="E64" s="7" t="n">
        <v>0</v>
      </c>
      <c r="F64" s="7" t="n">
        <v>1</v>
      </c>
      <c r="G64" s="7" t="n">
        <v>0</v>
      </c>
      <c r="H64" s="7" t="n">
        <v>106</v>
      </c>
      <c r="I64" s="7" t="n">
        <v>128</v>
      </c>
      <c r="J64" s="6" t="s">
        <v>275</v>
      </c>
      <c r="K64" s="6" t="s">
        <v>209</v>
      </c>
      <c r="L64" s="6" t="s">
        <v>172</v>
      </c>
    </row>
    <row r="65" customFormat="false" ht="15" hidden="false" customHeight="false" outlineLevel="0" collapsed="false">
      <c r="A65" s="4" t="s">
        <v>276</v>
      </c>
      <c r="B65" s="4" t="s">
        <v>168</v>
      </c>
      <c r="C65" s="8" t="s">
        <v>169</v>
      </c>
      <c r="D65" s="4"/>
      <c r="E65" s="5" t="n">
        <v>0</v>
      </c>
      <c r="F65" s="5" t="n">
        <v>1</v>
      </c>
      <c r="G65" s="5" t="n">
        <v>0</v>
      </c>
      <c r="H65" s="5" t="n">
        <v>108</v>
      </c>
      <c r="I65" s="5" t="n">
        <v>128</v>
      </c>
      <c r="J65" s="4" t="s">
        <v>277</v>
      </c>
      <c r="K65" s="4" t="s">
        <v>209</v>
      </c>
      <c r="L65" s="4" t="s">
        <v>172</v>
      </c>
    </row>
    <row r="66" customFormat="false" ht="15" hidden="false" customHeight="false" outlineLevel="0" collapsed="false">
      <c r="A66" s="6" t="s">
        <v>278</v>
      </c>
      <c r="B66" s="6" t="s">
        <v>3</v>
      </c>
      <c r="C66" s="8" t="s">
        <v>169</v>
      </c>
      <c r="D66" s="6"/>
      <c r="E66" s="7" t="n">
        <v>0</v>
      </c>
      <c r="F66" s="7" t="n">
        <v>1</v>
      </c>
      <c r="G66" s="7" t="n">
        <v>0</v>
      </c>
      <c r="H66" s="7" t="n">
        <v>53</v>
      </c>
      <c r="I66" s="7" t="n">
        <v>64</v>
      </c>
      <c r="J66" s="6" t="s">
        <v>279</v>
      </c>
      <c r="K66" s="6" t="s">
        <v>280</v>
      </c>
      <c r="L66" s="6" t="s">
        <v>201</v>
      </c>
    </row>
    <row r="67" customFormat="false" ht="15" hidden="false" customHeight="false" outlineLevel="0" collapsed="false">
      <c r="A67" s="4" t="s">
        <v>281</v>
      </c>
      <c r="B67" s="4" t="s">
        <v>3</v>
      </c>
      <c r="C67" s="8" t="s">
        <v>169</v>
      </c>
      <c r="D67" s="4"/>
      <c r="E67" s="5" t="n">
        <v>0</v>
      </c>
      <c r="F67" s="5" t="n">
        <v>1</v>
      </c>
      <c r="G67" s="5" t="n">
        <v>0</v>
      </c>
      <c r="H67" s="5" t="n">
        <v>126</v>
      </c>
      <c r="I67" s="5" t="n">
        <v>128</v>
      </c>
      <c r="J67" s="4" t="s">
        <v>282</v>
      </c>
      <c r="K67" s="4" t="s">
        <v>251</v>
      </c>
      <c r="L67" s="4" t="s">
        <v>201</v>
      </c>
    </row>
    <row r="68" customFormat="false" ht="15" hidden="false" customHeight="false" outlineLevel="0" collapsed="false">
      <c r="A68" s="6" t="s">
        <v>24</v>
      </c>
      <c r="B68" s="6" t="s">
        <v>3</v>
      </c>
      <c r="C68" s="11" t="s">
        <v>283</v>
      </c>
      <c r="D68" s="6" t="s">
        <v>23</v>
      </c>
      <c r="E68" s="7" t="n">
        <v>22</v>
      </c>
      <c r="F68" s="7" t="n">
        <v>72</v>
      </c>
      <c r="G68" s="7" t="n">
        <v>185</v>
      </c>
      <c r="H68" s="7" t="n">
        <v>2</v>
      </c>
      <c r="I68" s="7" t="n">
        <v>128</v>
      </c>
      <c r="J68" s="6" t="s">
        <v>205</v>
      </c>
      <c r="K68" s="6" t="s">
        <v>284</v>
      </c>
      <c r="L68" s="6" t="s">
        <v>201</v>
      </c>
    </row>
    <row r="69" customFormat="false" ht="15" hidden="false" customHeight="false" outlineLevel="0" collapsed="false">
      <c r="A69" s="4" t="s">
        <v>27</v>
      </c>
      <c r="B69" s="4" t="s">
        <v>3</v>
      </c>
      <c r="C69" s="11" t="s">
        <v>283</v>
      </c>
      <c r="D69" s="4" t="s">
        <v>26</v>
      </c>
      <c r="E69" s="5" t="n">
        <v>20</v>
      </c>
      <c r="F69" s="5" t="n">
        <v>57</v>
      </c>
      <c r="G69" s="5" t="n">
        <v>80</v>
      </c>
      <c r="H69" s="5" t="n">
        <v>3</v>
      </c>
      <c r="I69" s="5" t="n">
        <v>128</v>
      </c>
      <c r="J69" s="4" t="s">
        <v>170</v>
      </c>
      <c r="K69" s="4" t="s">
        <v>284</v>
      </c>
      <c r="L69" s="4" t="s">
        <v>201</v>
      </c>
    </row>
    <row r="70" customFormat="false" ht="15" hidden="false" customHeight="false" outlineLevel="0" collapsed="false">
      <c r="A70" s="6" t="s">
        <v>21</v>
      </c>
      <c r="B70" s="6" t="s">
        <v>3</v>
      </c>
      <c r="C70" s="11" t="s">
        <v>283</v>
      </c>
      <c r="D70" s="6" t="s">
        <v>20</v>
      </c>
      <c r="E70" s="7" t="n">
        <v>27</v>
      </c>
      <c r="F70" s="7" t="n">
        <v>52</v>
      </c>
      <c r="G70" s="7" t="n">
        <v>108</v>
      </c>
      <c r="H70" s="7" t="n">
        <v>1</v>
      </c>
      <c r="I70" s="7" t="n">
        <v>64</v>
      </c>
      <c r="J70" s="6" t="s">
        <v>197</v>
      </c>
      <c r="K70" s="6" t="s">
        <v>280</v>
      </c>
      <c r="L70" s="6" t="s">
        <v>201</v>
      </c>
    </row>
    <row r="71" customFormat="false" ht="15" hidden="false" customHeight="false" outlineLevel="0" collapsed="false">
      <c r="A71" s="4" t="s">
        <v>16</v>
      </c>
      <c r="B71" s="4" t="s">
        <v>3</v>
      </c>
      <c r="C71" s="11" t="s">
        <v>283</v>
      </c>
      <c r="D71" s="4" t="s">
        <v>15</v>
      </c>
      <c r="E71" s="5" t="n">
        <v>31</v>
      </c>
      <c r="F71" s="5" t="n">
        <v>51</v>
      </c>
      <c r="G71" s="5" t="n">
        <v>223</v>
      </c>
      <c r="H71" s="5" t="n">
        <v>1</v>
      </c>
      <c r="I71" s="5" t="n">
        <v>64</v>
      </c>
      <c r="J71" s="4" t="s">
        <v>170</v>
      </c>
      <c r="K71" s="4" t="s">
        <v>284</v>
      </c>
      <c r="L71" s="4" t="s">
        <v>201</v>
      </c>
    </row>
    <row r="72" customFormat="false" ht="15" hidden="false" customHeight="false" outlineLevel="0" collapsed="false">
      <c r="A72" s="6" t="s">
        <v>60</v>
      </c>
      <c r="B72" s="6" t="s">
        <v>3</v>
      </c>
      <c r="C72" s="11" t="s">
        <v>283</v>
      </c>
      <c r="D72" s="6" t="s">
        <v>59</v>
      </c>
      <c r="E72" s="7" t="n">
        <v>7</v>
      </c>
      <c r="F72" s="7" t="n">
        <v>44</v>
      </c>
      <c r="G72" s="7" t="n">
        <v>160</v>
      </c>
      <c r="H72" s="7" t="n">
        <v>1</v>
      </c>
      <c r="I72" s="7" t="n">
        <v>64</v>
      </c>
      <c r="J72" s="6" t="s">
        <v>190</v>
      </c>
      <c r="K72" s="6" t="s">
        <v>280</v>
      </c>
      <c r="L72" s="6" t="s">
        <v>201</v>
      </c>
    </row>
    <row r="73" customFormat="false" ht="15" hidden="false" customHeight="false" outlineLevel="0" collapsed="false">
      <c r="A73" s="4" t="s">
        <v>30</v>
      </c>
      <c r="B73" s="4" t="s">
        <v>3</v>
      </c>
      <c r="C73" s="11" t="s">
        <v>283</v>
      </c>
      <c r="D73" s="4" t="s">
        <v>29</v>
      </c>
      <c r="E73" s="5" t="n">
        <v>18</v>
      </c>
      <c r="F73" s="5" t="n">
        <v>43</v>
      </c>
      <c r="G73" s="5" t="n">
        <v>119</v>
      </c>
      <c r="H73" s="5" t="n">
        <v>1</v>
      </c>
      <c r="I73" s="5" t="n">
        <v>64</v>
      </c>
      <c r="J73" s="4" t="s">
        <v>285</v>
      </c>
      <c r="K73" s="4" t="s">
        <v>284</v>
      </c>
      <c r="L73" s="4" t="s">
        <v>201</v>
      </c>
    </row>
    <row r="74" customFormat="false" ht="15" hidden="false" customHeight="false" outlineLevel="0" collapsed="false">
      <c r="A74" s="6" t="s">
        <v>43</v>
      </c>
      <c r="B74" s="6" t="s">
        <v>3</v>
      </c>
      <c r="C74" s="11" t="s">
        <v>283</v>
      </c>
      <c r="D74" s="6" t="s">
        <v>42</v>
      </c>
      <c r="E74" s="7" t="n">
        <v>14</v>
      </c>
      <c r="F74" s="7" t="n">
        <v>27</v>
      </c>
      <c r="G74" s="7" t="n">
        <v>98</v>
      </c>
      <c r="H74" s="7" t="n">
        <v>3</v>
      </c>
      <c r="I74" s="7" t="n">
        <v>128</v>
      </c>
      <c r="J74" s="6" t="s">
        <v>182</v>
      </c>
      <c r="K74" s="6" t="s">
        <v>286</v>
      </c>
      <c r="L74" s="6" t="s">
        <v>201</v>
      </c>
    </row>
    <row r="75" customFormat="false" ht="15" hidden="false" customHeight="false" outlineLevel="0" collapsed="false">
      <c r="A75" s="4" t="s">
        <v>47</v>
      </c>
      <c r="B75" s="4" t="s">
        <v>3</v>
      </c>
      <c r="C75" s="11" t="s">
        <v>283</v>
      </c>
      <c r="D75" s="4" t="s">
        <v>46</v>
      </c>
      <c r="E75" s="5" t="n">
        <v>12</v>
      </c>
      <c r="F75" s="5" t="n">
        <v>27</v>
      </c>
      <c r="G75" s="5" t="n">
        <v>69</v>
      </c>
      <c r="H75" s="5" t="n">
        <v>2</v>
      </c>
      <c r="I75" s="5" t="n">
        <v>64</v>
      </c>
      <c r="J75" s="4" t="s">
        <v>250</v>
      </c>
      <c r="K75" s="4" t="s">
        <v>251</v>
      </c>
      <c r="L75" s="4" t="s">
        <v>201</v>
      </c>
    </row>
    <row r="76" customFormat="false" ht="15" hidden="false" customHeight="false" outlineLevel="0" collapsed="false">
      <c r="A76" s="6" t="s">
        <v>40</v>
      </c>
      <c r="B76" s="6" t="s">
        <v>3</v>
      </c>
      <c r="C76" s="11" t="s">
        <v>283</v>
      </c>
      <c r="D76" s="6" t="s">
        <v>39</v>
      </c>
      <c r="E76" s="7" t="n">
        <v>14</v>
      </c>
      <c r="F76" s="7" t="n">
        <v>24</v>
      </c>
      <c r="G76" s="7" t="n">
        <v>29</v>
      </c>
      <c r="H76" s="7" t="n">
        <v>5</v>
      </c>
      <c r="I76" s="7" t="n">
        <v>64</v>
      </c>
      <c r="J76" s="6" t="s">
        <v>170</v>
      </c>
      <c r="K76" s="6" t="s">
        <v>287</v>
      </c>
      <c r="L76" s="6" t="s">
        <v>201</v>
      </c>
    </row>
    <row r="77" customFormat="false" ht="15" hidden="false" customHeight="false" outlineLevel="0" collapsed="false">
      <c r="A77" s="4" t="s">
        <v>37</v>
      </c>
      <c r="B77" s="4" t="s">
        <v>3</v>
      </c>
      <c r="C77" s="11" t="s">
        <v>283</v>
      </c>
      <c r="D77" s="4" t="s">
        <v>36</v>
      </c>
      <c r="E77" s="5" t="n">
        <v>15</v>
      </c>
      <c r="F77" s="5" t="n">
        <v>23</v>
      </c>
      <c r="G77" s="5" t="n">
        <v>35</v>
      </c>
      <c r="H77" s="5" t="n">
        <v>5</v>
      </c>
      <c r="I77" s="5" t="n">
        <v>128</v>
      </c>
      <c r="J77" s="4" t="s">
        <v>170</v>
      </c>
      <c r="K77" s="4" t="s">
        <v>287</v>
      </c>
      <c r="L77" s="4" t="s">
        <v>201</v>
      </c>
    </row>
    <row r="78" customFormat="false" ht="15" hidden="false" customHeight="false" outlineLevel="0" collapsed="false">
      <c r="A78" s="6" t="s">
        <v>33</v>
      </c>
      <c r="B78" s="6" t="s">
        <v>3</v>
      </c>
      <c r="C78" s="11" t="s">
        <v>283</v>
      </c>
      <c r="D78" s="6" t="s">
        <v>32</v>
      </c>
      <c r="E78" s="7" t="n">
        <v>16</v>
      </c>
      <c r="F78" s="7" t="n">
        <v>23</v>
      </c>
      <c r="G78" s="7" t="n">
        <v>33</v>
      </c>
      <c r="H78" s="7" t="n">
        <v>3</v>
      </c>
      <c r="I78" s="7" t="n">
        <v>64</v>
      </c>
      <c r="J78" s="6" t="s">
        <v>170</v>
      </c>
      <c r="K78" s="6" t="s">
        <v>224</v>
      </c>
      <c r="L78" s="6" t="s">
        <v>201</v>
      </c>
    </row>
    <row r="79" customFormat="false" ht="15" hidden="false" customHeight="false" outlineLevel="0" collapsed="false">
      <c r="A79" s="4" t="s">
        <v>288</v>
      </c>
      <c r="B79" s="4" t="s">
        <v>3</v>
      </c>
      <c r="C79" s="11" t="s">
        <v>283</v>
      </c>
      <c r="D79" s="4" t="s">
        <v>49</v>
      </c>
      <c r="E79" s="5" t="n">
        <v>11</v>
      </c>
      <c r="F79" s="5" t="n">
        <v>20</v>
      </c>
      <c r="G79" s="5" t="n">
        <v>47</v>
      </c>
      <c r="H79" s="5" t="n">
        <v>2</v>
      </c>
      <c r="I79" s="5" t="n">
        <v>64</v>
      </c>
      <c r="J79" s="4" t="s">
        <v>190</v>
      </c>
      <c r="K79" s="4" t="s">
        <v>287</v>
      </c>
      <c r="L79" s="4" t="s">
        <v>289</v>
      </c>
    </row>
    <row r="80" customFormat="false" ht="15" hidden="false" customHeight="false" outlineLevel="0" collapsed="false">
      <c r="A80" s="6" t="s">
        <v>83</v>
      </c>
      <c r="B80" s="6" t="s">
        <v>3</v>
      </c>
      <c r="C80" s="11" t="s">
        <v>283</v>
      </c>
      <c r="D80" s="6" t="s">
        <v>82</v>
      </c>
      <c r="E80" s="7" t="n">
        <v>3</v>
      </c>
      <c r="F80" s="7" t="n">
        <v>16</v>
      </c>
      <c r="G80" s="7" t="n">
        <v>29</v>
      </c>
      <c r="H80" s="7" t="n">
        <v>18</v>
      </c>
      <c r="I80" s="7" t="n">
        <v>256</v>
      </c>
      <c r="J80" s="6" t="s">
        <v>184</v>
      </c>
      <c r="K80" s="6" t="s">
        <v>284</v>
      </c>
      <c r="L80" s="6" t="s">
        <v>201</v>
      </c>
    </row>
    <row r="81" customFormat="false" ht="15" hidden="false" customHeight="false" outlineLevel="0" collapsed="false">
      <c r="A81" s="4" t="s">
        <v>111</v>
      </c>
      <c r="B81" s="4" t="s">
        <v>3</v>
      </c>
      <c r="C81" s="11" t="s">
        <v>283</v>
      </c>
      <c r="D81" s="4" t="s">
        <v>110</v>
      </c>
      <c r="E81" s="5" t="n">
        <v>2</v>
      </c>
      <c r="F81" s="5" t="n">
        <v>12</v>
      </c>
      <c r="G81" s="5" t="n">
        <v>34</v>
      </c>
      <c r="H81" s="5" t="n">
        <v>2</v>
      </c>
      <c r="I81" s="5" t="n">
        <v>64</v>
      </c>
      <c r="J81" s="4" t="s">
        <v>208</v>
      </c>
      <c r="K81" s="4" t="s">
        <v>290</v>
      </c>
      <c r="L81" s="4" t="s">
        <v>201</v>
      </c>
    </row>
    <row r="82" customFormat="false" ht="15" hidden="false" customHeight="false" outlineLevel="0" collapsed="false">
      <c r="A82" s="6" t="s">
        <v>72</v>
      </c>
      <c r="B82" s="6" t="s">
        <v>3</v>
      </c>
      <c r="C82" s="11" t="s">
        <v>283</v>
      </c>
      <c r="D82" s="6" t="s">
        <v>71</v>
      </c>
      <c r="E82" s="7" t="n">
        <v>6</v>
      </c>
      <c r="F82" s="7" t="n">
        <v>12</v>
      </c>
      <c r="G82" s="7" t="n">
        <v>14</v>
      </c>
      <c r="H82" s="7" t="n">
        <v>16</v>
      </c>
      <c r="I82" s="7" t="n">
        <v>128</v>
      </c>
      <c r="J82" s="6" t="s">
        <v>291</v>
      </c>
      <c r="K82" s="6" t="s">
        <v>286</v>
      </c>
      <c r="L82" s="6" t="s">
        <v>201</v>
      </c>
    </row>
    <row r="83" customFormat="false" ht="15" hidden="false" customHeight="false" outlineLevel="0" collapsed="false">
      <c r="A83" s="4" t="s">
        <v>66</v>
      </c>
      <c r="B83" s="4" t="s">
        <v>3</v>
      </c>
      <c r="C83" s="11" t="s">
        <v>283</v>
      </c>
      <c r="D83" s="4" t="s">
        <v>65</v>
      </c>
      <c r="E83" s="5" t="n">
        <v>7</v>
      </c>
      <c r="F83" s="5" t="n">
        <v>11</v>
      </c>
      <c r="G83" s="5" t="n">
        <v>16</v>
      </c>
      <c r="H83" s="5" t="n">
        <v>9</v>
      </c>
      <c r="I83" s="5" t="n">
        <v>64</v>
      </c>
      <c r="J83" s="4" t="s">
        <v>195</v>
      </c>
      <c r="K83" s="4" t="s">
        <v>286</v>
      </c>
      <c r="L83" s="4" t="s">
        <v>201</v>
      </c>
    </row>
    <row r="84" customFormat="false" ht="15" hidden="false" customHeight="false" outlineLevel="0" collapsed="false">
      <c r="A84" s="6" t="s">
        <v>86</v>
      </c>
      <c r="B84" s="6" t="s">
        <v>3</v>
      </c>
      <c r="C84" s="11" t="s">
        <v>283</v>
      </c>
      <c r="D84" s="6" t="s">
        <v>85</v>
      </c>
      <c r="E84" s="7" t="n">
        <v>3</v>
      </c>
      <c r="F84" s="7" t="n">
        <v>11</v>
      </c>
      <c r="G84" s="7" t="n">
        <v>12</v>
      </c>
      <c r="H84" s="7" t="n">
        <v>10</v>
      </c>
      <c r="I84" s="7" t="n">
        <v>64</v>
      </c>
      <c r="J84" s="6" t="s">
        <v>291</v>
      </c>
      <c r="K84" s="6" t="s">
        <v>287</v>
      </c>
      <c r="L84" s="6" t="s">
        <v>201</v>
      </c>
    </row>
    <row r="85" customFormat="false" ht="15" hidden="false" customHeight="false" outlineLevel="0" collapsed="false">
      <c r="A85" s="4" t="s">
        <v>54</v>
      </c>
      <c r="B85" s="4" t="s">
        <v>3</v>
      </c>
      <c r="C85" s="11" t="s">
        <v>283</v>
      </c>
      <c r="D85" s="4" t="s">
        <v>53</v>
      </c>
      <c r="E85" s="5" t="n">
        <v>8</v>
      </c>
      <c r="F85" s="5" t="n">
        <v>10</v>
      </c>
      <c r="G85" s="5" t="n">
        <v>25</v>
      </c>
      <c r="H85" s="5" t="n">
        <v>2</v>
      </c>
      <c r="I85" s="5" t="n">
        <v>64</v>
      </c>
      <c r="J85" s="4" t="s">
        <v>215</v>
      </c>
      <c r="K85" s="4" t="s">
        <v>287</v>
      </c>
      <c r="L85" s="4" t="s">
        <v>201</v>
      </c>
    </row>
    <row r="86" customFormat="false" ht="15" hidden="false" customHeight="false" outlineLevel="0" collapsed="false">
      <c r="A86" s="6" t="s">
        <v>75</v>
      </c>
      <c r="B86" s="6" t="s">
        <v>3</v>
      </c>
      <c r="C86" s="11" t="s">
        <v>283</v>
      </c>
      <c r="D86" s="6" t="s">
        <v>74</v>
      </c>
      <c r="E86" s="7" t="n">
        <v>4</v>
      </c>
      <c r="F86" s="7" t="n">
        <v>8</v>
      </c>
      <c r="G86" s="7" t="n">
        <v>4</v>
      </c>
      <c r="H86" s="7" t="n">
        <v>20</v>
      </c>
      <c r="I86" s="7" t="n">
        <v>64</v>
      </c>
      <c r="J86" s="6" t="s">
        <v>292</v>
      </c>
      <c r="K86" s="6" t="s">
        <v>290</v>
      </c>
      <c r="L86" s="6" t="s">
        <v>201</v>
      </c>
    </row>
    <row r="87" customFormat="false" ht="15" hidden="false" customHeight="false" outlineLevel="0" collapsed="false">
      <c r="A87" s="4" t="s">
        <v>69</v>
      </c>
      <c r="B87" s="4" t="s">
        <v>168</v>
      </c>
      <c r="C87" s="11" t="s">
        <v>283</v>
      </c>
      <c r="D87" s="4" t="s">
        <v>68</v>
      </c>
      <c r="E87" s="5" t="n">
        <v>6</v>
      </c>
      <c r="F87" s="5" t="n">
        <v>7</v>
      </c>
      <c r="G87" s="5" t="n">
        <v>16</v>
      </c>
      <c r="H87" s="5" t="n">
        <v>7</v>
      </c>
      <c r="I87" s="5" t="n">
        <v>128</v>
      </c>
      <c r="J87" s="4" t="s">
        <v>170</v>
      </c>
      <c r="K87" s="4" t="s">
        <v>171</v>
      </c>
      <c r="L87" s="4" t="s">
        <v>201</v>
      </c>
    </row>
    <row r="88" customFormat="false" ht="15" hidden="false" customHeight="false" outlineLevel="0" collapsed="false">
      <c r="A88" s="6" t="s">
        <v>137</v>
      </c>
      <c r="B88" s="6" t="s">
        <v>3</v>
      </c>
      <c r="C88" s="11" t="s">
        <v>283</v>
      </c>
      <c r="D88" s="6" t="s">
        <v>136</v>
      </c>
      <c r="E88" s="7" t="n">
        <v>1</v>
      </c>
      <c r="F88" s="7" t="n">
        <v>7</v>
      </c>
      <c r="G88" s="7" t="n">
        <v>13</v>
      </c>
      <c r="H88" s="7" t="n">
        <v>15</v>
      </c>
      <c r="I88" s="7" t="n">
        <v>128</v>
      </c>
      <c r="J88" s="6" t="s">
        <v>293</v>
      </c>
      <c r="K88" s="6" t="s">
        <v>251</v>
      </c>
      <c r="L88" s="6" t="s">
        <v>201</v>
      </c>
    </row>
    <row r="89" customFormat="false" ht="15" hidden="false" customHeight="false" outlineLevel="0" collapsed="false">
      <c r="A89" s="4" t="s">
        <v>57</v>
      </c>
      <c r="B89" s="4" t="s">
        <v>168</v>
      </c>
      <c r="C89" s="11" t="s">
        <v>283</v>
      </c>
      <c r="D89" s="4" t="s">
        <v>56</v>
      </c>
      <c r="E89" s="5" t="n">
        <v>7</v>
      </c>
      <c r="F89" s="5" t="n">
        <v>7</v>
      </c>
      <c r="G89" s="5" t="n">
        <v>11</v>
      </c>
      <c r="H89" s="5" t="n">
        <v>15</v>
      </c>
      <c r="I89" s="5" t="n">
        <v>128</v>
      </c>
      <c r="J89" s="4" t="s">
        <v>182</v>
      </c>
      <c r="K89" s="4" t="s">
        <v>171</v>
      </c>
      <c r="L89" s="4" t="s">
        <v>201</v>
      </c>
    </row>
    <row r="90" customFormat="false" ht="15" hidden="false" customHeight="false" outlineLevel="0" collapsed="false">
      <c r="A90" s="6" t="s">
        <v>128</v>
      </c>
      <c r="B90" s="6" t="s">
        <v>3</v>
      </c>
      <c r="C90" s="11" t="s">
        <v>283</v>
      </c>
      <c r="D90" s="6" t="s">
        <v>127</v>
      </c>
      <c r="E90" s="7" t="n">
        <v>1</v>
      </c>
      <c r="F90" s="7" t="n">
        <v>6</v>
      </c>
      <c r="G90" s="7" t="n">
        <v>32</v>
      </c>
      <c r="H90" s="7" t="n">
        <v>3</v>
      </c>
      <c r="I90" s="7" t="n">
        <v>128</v>
      </c>
      <c r="J90" s="6" t="s">
        <v>208</v>
      </c>
      <c r="K90" s="6" t="s">
        <v>284</v>
      </c>
      <c r="L90" s="6" t="s">
        <v>201</v>
      </c>
    </row>
    <row r="91" customFormat="false" ht="15" hidden="false" customHeight="false" outlineLevel="0" collapsed="false">
      <c r="A91" s="4" t="s">
        <v>131</v>
      </c>
      <c r="B91" s="4" t="s">
        <v>3</v>
      </c>
      <c r="C91" s="11" t="s">
        <v>283</v>
      </c>
      <c r="D91" s="4" t="s">
        <v>130</v>
      </c>
      <c r="E91" s="5" t="n">
        <v>1</v>
      </c>
      <c r="F91" s="5" t="n">
        <v>6</v>
      </c>
      <c r="G91" s="5" t="n">
        <v>10</v>
      </c>
      <c r="H91" s="5" t="n">
        <v>15</v>
      </c>
      <c r="I91" s="5" t="n">
        <v>128</v>
      </c>
      <c r="J91" s="4" t="s">
        <v>190</v>
      </c>
      <c r="K91" s="4" t="s">
        <v>245</v>
      </c>
      <c r="L91" s="4" t="s">
        <v>201</v>
      </c>
    </row>
    <row r="92" customFormat="false" ht="15" hidden="false" customHeight="false" outlineLevel="0" collapsed="false">
      <c r="A92" s="6" t="s">
        <v>144</v>
      </c>
      <c r="B92" s="6" t="s">
        <v>3</v>
      </c>
      <c r="C92" s="11" t="s">
        <v>283</v>
      </c>
      <c r="D92" s="6" t="s">
        <v>143</v>
      </c>
      <c r="E92" s="7" t="n">
        <v>1</v>
      </c>
      <c r="F92" s="7" t="n">
        <v>6</v>
      </c>
      <c r="G92" s="7" t="n">
        <v>3</v>
      </c>
      <c r="H92" s="7" t="n">
        <v>40</v>
      </c>
      <c r="I92" s="7" t="n">
        <v>128</v>
      </c>
      <c r="J92" s="6" t="s">
        <v>184</v>
      </c>
      <c r="K92" s="6" t="s">
        <v>224</v>
      </c>
      <c r="L92" s="6" t="s">
        <v>201</v>
      </c>
    </row>
    <row r="93" customFormat="false" ht="15" hidden="false" customHeight="false" outlineLevel="0" collapsed="false">
      <c r="A93" s="4" t="s">
        <v>108</v>
      </c>
      <c r="B93" s="4" t="s">
        <v>3</v>
      </c>
      <c r="C93" s="11" t="s">
        <v>283</v>
      </c>
      <c r="D93" s="4" t="s">
        <v>107</v>
      </c>
      <c r="E93" s="5" t="n">
        <v>2</v>
      </c>
      <c r="F93" s="5" t="n">
        <v>5</v>
      </c>
      <c r="G93" s="5" t="n">
        <v>12</v>
      </c>
      <c r="H93" s="5" t="n">
        <v>49</v>
      </c>
      <c r="I93" s="5" t="n">
        <v>256</v>
      </c>
      <c r="J93" s="4" t="s">
        <v>170</v>
      </c>
      <c r="K93" s="4" t="s">
        <v>294</v>
      </c>
      <c r="L93" s="4" t="s">
        <v>201</v>
      </c>
    </row>
    <row r="94" customFormat="false" ht="15" hidden="false" customHeight="false" outlineLevel="0" collapsed="false">
      <c r="A94" s="6" t="s">
        <v>105</v>
      </c>
      <c r="B94" s="6" t="s">
        <v>3</v>
      </c>
      <c r="C94" s="11" t="s">
        <v>283</v>
      </c>
      <c r="D94" s="6" t="s">
        <v>104</v>
      </c>
      <c r="E94" s="7" t="n">
        <v>2</v>
      </c>
      <c r="F94" s="7" t="n">
        <v>4</v>
      </c>
      <c r="G94" s="7" t="n">
        <v>4</v>
      </c>
      <c r="H94" s="7" t="n">
        <v>24</v>
      </c>
      <c r="I94" s="7" t="n">
        <v>128</v>
      </c>
      <c r="J94" s="6" t="s">
        <v>208</v>
      </c>
      <c r="K94" s="6" t="s">
        <v>245</v>
      </c>
      <c r="L94" s="6" t="s">
        <v>201</v>
      </c>
    </row>
    <row r="95" customFormat="false" ht="15" hidden="false" customHeight="false" outlineLevel="0" collapsed="false">
      <c r="A95" s="4" t="s">
        <v>295</v>
      </c>
      <c r="B95" s="4" t="s">
        <v>3</v>
      </c>
      <c r="C95" s="11" t="s">
        <v>283</v>
      </c>
      <c r="D95" s="4" t="s">
        <v>122</v>
      </c>
      <c r="E95" s="5" t="n">
        <v>1</v>
      </c>
      <c r="F95" s="5" t="n">
        <v>4</v>
      </c>
      <c r="G95" s="5" t="n">
        <v>2</v>
      </c>
      <c r="H95" s="5" t="n">
        <v>62</v>
      </c>
      <c r="I95" s="5" t="n">
        <v>128</v>
      </c>
      <c r="J95" s="4" t="s">
        <v>174</v>
      </c>
      <c r="K95" s="4" t="s">
        <v>224</v>
      </c>
      <c r="L95" s="4" t="s">
        <v>296</v>
      </c>
    </row>
    <row r="96" customFormat="false" ht="15" hidden="false" customHeight="false" outlineLevel="0" collapsed="false">
      <c r="A96" s="6" t="s">
        <v>147</v>
      </c>
      <c r="B96" s="6" t="s">
        <v>3</v>
      </c>
      <c r="C96" s="11" t="s">
        <v>283</v>
      </c>
      <c r="D96" s="6" t="s">
        <v>146</v>
      </c>
      <c r="E96" s="7" t="n">
        <v>1</v>
      </c>
      <c r="F96" s="7" t="n">
        <v>3</v>
      </c>
      <c r="G96" s="7" t="n">
        <v>2</v>
      </c>
      <c r="H96" s="7" t="n">
        <v>71</v>
      </c>
      <c r="I96" s="7" t="n">
        <v>256</v>
      </c>
      <c r="J96" s="6" t="s">
        <v>215</v>
      </c>
      <c r="K96" s="6" t="s">
        <v>286</v>
      </c>
      <c r="L96" s="6" t="s">
        <v>201</v>
      </c>
    </row>
    <row r="97" customFormat="false" ht="15" hidden="false" customHeight="false" outlineLevel="0" collapsed="false">
      <c r="A97" s="4" t="s">
        <v>141</v>
      </c>
      <c r="B97" s="4" t="s">
        <v>3</v>
      </c>
      <c r="C97" s="11" t="s">
        <v>283</v>
      </c>
      <c r="D97" s="4" t="s">
        <v>140</v>
      </c>
      <c r="E97" s="5" t="n">
        <v>1</v>
      </c>
      <c r="F97" s="5" t="n">
        <v>3</v>
      </c>
      <c r="G97" s="5" t="n">
        <v>1</v>
      </c>
      <c r="H97" s="5" t="n">
        <v>39</v>
      </c>
      <c r="I97" s="5" t="n">
        <v>128</v>
      </c>
      <c r="J97" s="4" t="s">
        <v>297</v>
      </c>
      <c r="K97" s="4" t="s">
        <v>251</v>
      </c>
      <c r="L97" s="4" t="s">
        <v>201</v>
      </c>
    </row>
    <row r="98" customFormat="false" ht="15" hidden="false" customHeight="false" outlineLevel="0" collapsed="false">
      <c r="A98" s="6" t="s">
        <v>102</v>
      </c>
      <c r="B98" s="6" t="s">
        <v>3</v>
      </c>
      <c r="C98" s="11" t="s">
        <v>283</v>
      </c>
      <c r="D98" s="6" t="s">
        <v>101</v>
      </c>
      <c r="E98" s="7" t="n">
        <v>2</v>
      </c>
      <c r="F98" s="7" t="n">
        <v>3</v>
      </c>
      <c r="G98" s="7" t="n">
        <v>1</v>
      </c>
      <c r="H98" s="7" t="n">
        <v>22</v>
      </c>
      <c r="I98" s="7" t="n">
        <v>64</v>
      </c>
      <c r="J98" s="6" t="s">
        <v>184</v>
      </c>
      <c r="K98" s="6" t="s">
        <v>245</v>
      </c>
      <c r="L98" s="6" t="s">
        <v>201</v>
      </c>
    </row>
    <row r="99" customFormat="false" ht="15" hidden="false" customHeight="false" outlineLevel="0" collapsed="false">
      <c r="A99" s="4" t="s">
        <v>98</v>
      </c>
      <c r="B99" s="4" t="s">
        <v>3</v>
      </c>
      <c r="C99" s="11" t="s">
        <v>283</v>
      </c>
      <c r="D99" s="4" t="s">
        <v>97</v>
      </c>
      <c r="E99" s="5" t="n">
        <v>2</v>
      </c>
      <c r="F99" s="5" t="n">
        <v>3</v>
      </c>
      <c r="G99" s="5" t="n">
        <v>1</v>
      </c>
      <c r="H99" s="5" t="n">
        <v>41</v>
      </c>
      <c r="I99" s="5" t="n">
        <v>128</v>
      </c>
      <c r="J99" s="4" t="s">
        <v>170</v>
      </c>
      <c r="K99" s="4" t="s">
        <v>224</v>
      </c>
      <c r="L99" s="4" t="s">
        <v>201</v>
      </c>
    </row>
    <row r="100" customFormat="false" ht="15" hidden="false" customHeight="false" outlineLevel="0" collapsed="false">
      <c r="A100" s="6" t="s">
        <v>298</v>
      </c>
      <c r="B100" s="6" t="s">
        <v>3</v>
      </c>
      <c r="C100" s="11" t="s">
        <v>283</v>
      </c>
      <c r="D100" s="6" t="s">
        <v>122</v>
      </c>
      <c r="E100" s="7" t="n">
        <v>1</v>
      </c>
      <c r="F100" s="7" t="n">
        <v>2</v>
      </c>
      <c r="G100" s="7" t="n">
        <v>10</v>
      </c>
      <c r="H100" s="7" t="n">
        <v>6</v>
      </c>
      <c r="I100" s="7" t="n">
        <v>128</v>
      </c>
      <c r="J100" s="6" t="s">
        <v>215</v>
      </c>
      <c r="K100" s="6" t="s">
        <v>224</v>
      </c>
      <c r="L100" s="6" t="s">
        <v>296</v>
      </c>
    </row>
    <row r="101" customFormat="false" ht="15" hidden="false" customHeight="false" outlineLevel="0" collapsed="false">
      <c r="A101" s="4" t="s">
        <v>299</v>
      </c>
      <c r="B101" s="4" t="s">
        <v>3</v>
      </c>
      <c r="C101" s="11" t="s">
        <v>283</v>
      </c>
      <c r="D101" s="4" t="s">
        <v>122</v>
      </c>
      <c r="E101" s="5" t="n">
        <v>1</v>
      </c>
      <c r="F101" s="5" t="n">
        <v>2</v>
      </c>
      <c r="G101" s="5" t="n">
        <v>4</v>
      </c>
      <c r="H101" s="5" t="n">
        <v>28</v>
      </c>
      <c r="I101" s="5" t="n">
        <v>128</v>
      </c>
      <c r="J101" s="4" t="s">
        <v>256</v>
      </c>
      <c r="K101" s="4" t="s">
        <v>229</v>
      </c>
      <c r="L101" s="4" t="s">
        <v>296</v>
      </c>
    </row>
    <row r="102" customFormat="false" ht="15" hidden="false" customHeight="false" outlineLevel="0" collapsed="false">
      <c r="A102" s="6" t="s">
        <v>126</v>
      </c>
      <c r="B102" s="6" t="s">
        <v>3</v>
      </c>
      <c r="C102" s="11" t="s">
        <v>283</v>
      </c>
      <c r="D102" s="6" t="s">
        <v>125</v>
      </c>
      <c r="E102" s="7" t="n">
        <v>1</v>
      </c>
      <c r="F102" s="7" t="n">
        <v>2</v>
      </c>
      <c r="G102" s="7" t="n">
        <v>3</v>
      </c>
      <c r="H102" s="7" t="n">
        <v>24</v>
      </c>
      <c r="I102" s="7" t="n">
        <v>128</v>
      </c>
      <c r="J102" s="6" t="s">
        <v>174</v>
      </c>
      <c r="K102" s="6" t="s">
        <v>294</v>
      </c>
      <c r="L102" s="6" t="s">
        <v>201</v>
      </c>
    </row>
    <row r="103" customFormat="false" ht="15" hidden="false" customHeight="false" outlineLevel="0" collapsed="false">
      <c r="A103" s="4" t="s">
        <v>135</v>
      </c>
      <c r="B103" s="4" t="s">
        <v>3</v>
      </c>
      <c r="C103" s="11" t="s">
        <v>283</v>
      </c>
      <c r="D103" s="4" t="s">
        <v>134</v>
      </c>
      <c r="E103" s="5" t="n">
        <v>1</v>
      </c>
      <c r="F103" s="5" t="n">
        <v>2</v>
      </c>
      <c r="G103" s="5" t="n">
        <v>0</v>
      </c>
      <c r="H103" s="5" t="n">
        <v>67</v>
      </c>
      <c r="I103" s="5" t="n">
        <v>256</v>
      </c>
      <c r="J103" s="4" t="s">
        <v>215</v>
      </c>
      <c r="K103" s="4" t="s">
        <v>287</v>
      </c>
      <c r="L103" s="4" t="s">
        <v>201</v>
      </c>
    </row>
    <row r="104" customFormat="false" ht="15" hidden="false" customHeight="false" outlineLevel="0" collapsed="false">
      <c r="A104" s="6" t="s">
        <v>79</v>
      </c>
      <c r="B104" s="6" t="s">
        <v>3</v>
      </c>
      <c r="C104" s="11" t="s">
        <v>283</v>
      </c>
      <c r="D104" s="6" t="s">
        <v>78</v>
      </c>
      <c r="E104" s="7" t="n">
        <v>3</v>
      </c>
      <c r="F104" s="7" t="n">
        <v>1</v>
      </c>
      <c r="G104" s="7" t="n">
        <v>0</v>
      </c>
      <c r="H104" s="7" t="n">
        <v>45</v>
      </c>
      <c r="I104" s="7" t="n">
        <v>64</v>
      </c>
      <c r="J104" s="6" t="s">
        <v>211</v>
      </c>
      <c r="K104" s="6" t="s">
        <v>198</v>
      </c>
      <c r="L104" s="6" t="s">
        <v>201</v>
      </c>
    </row>
    <row r="105" customFormat="false" ht="15" hidden="false" customHeight="false" outlineLevel="0" collapsed="false">
      <c r="A105" s="4" t="s">
        <v>114</v>
      </c>
      <c r="B105" s="4" t="s">
        <v>3</v>
      </c>
      <c r="C105" s="11" t="s">
        <v>283</v>
      </c>
      <c r="D105" s="4" t="s">
        <v>113</v>
      </c>
      <c r="E105" s="5" t="n">
        <v>1</v>
      </c>
      <c r="F105" s="5" t="n">
        <v>1</v>
      </c>
      <c r="G105" s="5" t="n">
        <v>0</v>
      </c>
      <c r="H105" s="5" t="n">
        <v>58</v>
      </c>
      <c r="I105" s="5" t="n">
        <v>64</v>
      </c>
      <c r="J105" s="4" t="s">
        <v>182</v>
      </c>
      <c r="K105" s="4" t="s">
        <v>300</v>
      </c>
      <c r="L105" s="4" t="s">
        <v>201</v>
      </c>
    </row>
    <row r="106" customFormat="false" ht="15" hidden="false" customHeight="false" outlineLevel="0" collapsed="false">
      <c r="A106" s="6" t="s">
        <v>120</v>
      </c>
      <c r="B106" s="6" t="s">
        <v>3</v>
      </c>
      <c r="C106" s="11" t="s">
        <v>283</v>
      </c>
      <c r="D106" s="6" t="s">
        <v>119</v>
      </c>
      <c r="E106" s="7" t="n">
        <v>1</v>
      </c>
      <c r="F106" s="7" t="n">
        <v>1</v>
      </c>
      <c r="G106" s="7" t="n">
        <v>0</v>
      </c>
      <c r="H106" s="7" t="n">
        <v>156</v>
      </c>
      <c r="I106" s="7" t="n">
        <v>256</v>
      </c>
      <c r="J106" s="6" t="s">
        <v>244</v>
      </c>
      <c r="K106" s="6" t="s">
        <v>198</v>
      </c>
      <c r="L106" s="6" t="s">
        <v>201</v>
      </c>
    </row>
    <row r="107" customFormat="false" ht="15" hidden="false" customHeight="false" outlineLevel="0" collapsed="false">
      <c r="A107" s="4" t="s">
        <v>301</v>
      </c>
      <c r="B107" s="4" t="s">
        <v>3</v>
      </c>
      <c r="C107" s="11" t="s">
        <v>283</v>
      </c>
      <c r="D107" s="4" t="s">
        <v>148</v>
      </c>
      <c r="E107" s="5" t="n">
        <v>1</v>
      </c>
      <c r="F107" s="5" t="n">
        <v>1</v>
      </c>
      <c r="G107" s="5" t="n">
        <v>0</v>
      </c>
      <c r="H107" s="5" t="n">
        <v>99</v>
      </c>
      <c r="I107" s="5" t="n">
        <v>128</v>
      </c>
      <c r="J107" s="4" t="s">
        <v>263</v>
      </c>
      <c r="K107" s="4" t="s">
        <v>302</v>
      </c>
      <c r="L107" s="4" t="s">
        <v>201</v>
      </c>
    </row>
    <row r="108" customFormat="false" ht="15" hidden="false" customHeight="false" outlineLevel="0" collapsed="false">
      <c r="A108" s="6" t="s">
        <v>89</v>
      </c>
      <c r="B108" s="6" t="s">
        <v>3</v>
      </c>
      <c r="C108" s="11" t="s">
        <v>283</v>
      </c>
      <c r="D108" s="6" t="s">
        <v>88</v>
      </c>
      <c r="E108" s="7" t="n">
        <v>2</v>
      </c>
      <c r="F108" s="7" t="n">
        <v>1</v>
      </c>
      <c r="G108" s="7" t="n">
        <v>0</v>
      </c>
      <c r="H108" s="7" t="n">
        <v>69</v>
      </c>
      <c r="I108" s="7" t="n">
        <v>128</v>
      </c>
      <c r="J108" s="6" t="s">
        <v>303</v>
      </c>
      <c r="K108" s="6" t="s">
        <v>302</v>
      </c>
      <c r="L108" s="6" t="s">
        <v>201</v>
      </c>
    </row>
  </sheetData>
  <autoFilter ref="A4:L1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304</v>
      </c>
    </row>
    <row r="2" customFormat="false" ht="15" hidden="false" customHeight="false" outlineLevel="0" collapsed="false">
      <c r="A2" s="2" t="s">
        <v>305</v>
      </c>
    </row>
    <row r="4" customFormat="false" ht="15" hidden="false" customHeight="false" outlineLevel="0" collapsed="false">
      <c r="A4" s="9" t="s">
        <v>306</v>
      </c>
      <c r="B4" s="12" t="n">
        <f aca="false">COUNTA(Uploaded!A5:A48)</f>
        <v>44</v>
      </c>
    </row>
    <row r="5" customFormat="false" ht="15" hidden="false" customHeight="false" outlineLevel="0" collapsed="false">
      <c r="A5" s="9" t="s">
        <v>307</v>
      </c>
      <c r="B5" s="12" t="n">
        <f aca="false">SUM(Uploaded!D5:D48)</f>
        <v>290</v>
      </c>
    </row>
    <row r="6" customFormat="false" ht="15" hidden="false" customHeight="false" outlineLevel="0" collapsed="false">
      <c r="A6" s="9" t="s">
        <v>308</v>
      </c>
      <c r="B6" s="12" t="n">
        <f aca="false">SUM(Uploaded!E5:E48)</f>
        <v>292</v>
      </c>
    </row>
    <row r="7" customFormat="false" ht="15" hidden="false" customHeight="false" outlineLevel="0" collapsed="false">
      <c r="A7" s="9" t="s">
        <v>309</v>
      </c>
      <c r="B7" s="12" t="n">
        <f aca="false">SUM(Uploaded!E5:E48)-SUM(Uploaded!D5:D48)</f>
        <v>2</v>
      </c>
    </row>
    <row r="8" customFormat="false" ht="15" hidden="false" customHeight="false" outlineLevel="0" collapsed="false">
      <c r="A8" s="9" t="s">
        <v>310</v>
      </c>
      <c r="B8" s="12" t="n">
        <f aca="false">SUM(Uploaded!H5:H48)</f>
        <v>25021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9" t="s">
        <v>311</v>
      </c>
      <c r="B10" s="12" t="n">
        <f aca="false">COUNTA('Events played'!A5:A108)</f>
        <v>104</v>
      </c>
    </row>
    <row r="11" customFormat="false" ht="15" hidden="false" customHeight="false" outlineLevel="0" collapsed="false">
      <c r="A11" s="13" t="s">
        <v>312</v>
      </c>
      <c r="B11" s="12" t="n">
        <f aca="false">COUNTIF('Events played'!C5:C108,"YES")</f>
        <v>41</v>
      </c>
    </row>
    <row r="12" customFormat="false" ht="15" hidden="false" customHeight="false" outlineLevel="0" collapsed="false">
      <c r="A12" s="13" t="s">
        <v>313</v>
      </c>
      <c r="B12" s="12" t="n">
        <f aca="false">COUNTIF('Events played'!C5:C108,"NO")</f>
        <v>63</v>
      </c>
    </row>
    <row r="13" customFormat="false" ht="15" hidden="false" customHeight="false" outlineLevel="0" collapsed="false">
      <c r="A13" s="9" t="s">
        <v>314</v>
      </c>
      <c r="B13" s="12" t="n">
        <f aca="false">SUMIF('Events played'!C5:C108,"YES",'Events played'!F5:F108)</f>
        <v>620</v>
      </c>
    </row>
    <row r="14" customFormat="false" ht="15" hidden="false" customHeight="false" outlineLevel="0" collapsed="false">
      <c r="A14" s="9" t="s">
        <v>315</v>
      </c>
      <c r="B14" s="12" t="n">
        <f aca="false">SUMIF('Events played'!C5:C108,"NO",'Events played'!F5:F108)</f>
        <v>569</v>
      </c>
    </row>
    <row r="15" customFormat="false" ht="15" hidden="false" customHeight="false" outlineLevel="0" collapsed="false">
      <c r="A15" s="9" t="s">
        <v>316</v>
      </c>
      <c r="B15" s="12" t="n">
        <f aca="false">SUMIF('Events played'!C5:C108,"YES",'Events played'!G5:G108)</f>
        <v>1445</v>
      </c>
    </row>
    <row r="16" customFormat="false" ht="15" hidden="false" customHeight="false" outlineLevel="0" collapsed="false">
      <c r="A16" s="9" t="s">
        <v>317</v>
      </c>
      <c r="B16" s="12" t="n">
        <f aca="false">SUMIF('Events played'!C5:C108,"NO",'Events played'!G5:G108)</f>
        <v>1394</v>
      </c>
    </row>
    <row r="17" customFormat="false" ht="15" hidden="false" customHeight="false" outlineLevel="0" collapsed="false">
      <c r="A17" s="14"/>
    </row>
    <row r="18" customFormat="false" ht="15" hidden="false" customHeight="false" outlineLevel="0" collapsed="false">
      <c r="A18" s="15" t="s">
        <v>318</v>
      </c>
    </row>
    <row r="19" customFormat="false" ht="15" hidden="false" customHeight="false" outlineLevel="0" collapsed="false">
      <c r="A19" s="14" t="s">
        <v>319</v>
      </c>
    </row>
    <row r="20" customFormat="false" ht="15" hidden="false" customHeight="false" outlineLevel="0" collapsed="false">
      <c r="A20" s="14" t="s">
        <v>320</v>
      </c>
    </row>
    <row r="21" customFormat="false" ht="15" hidden="false" customHeight="false" outlineLevel="0" collapsed="false">
      <c r="A21" s="14" t="s">
        <v>321</v>
      </c>
    </row>
    <row r="22" customFormat="false" ht="15" hidden="false" customHeight="false" outlineLevel="0" collapsed="false">
      <c r="A22" s="14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2026-08-30T23:51:54Z</dcterms:created>
  <dc:creator>openpyxl</dc:creator>
  <dc:description/>
  <dc:language>en-US</dc:language>
  <cp:lastModifiedBy/>
  <dcterms:modified xsi:type="dcterms:W3CDTF">2026-08-30T23:51:54Z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