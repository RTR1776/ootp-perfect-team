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ournaments" sheetId="1" state="visible" r:id="rId3"/>
    <sheet name="Perfect Drafts" sheetId="2" state="visible" r:id="rId4"/>
    <sheet name="Summary" sheetId="3" state="visible" r:id="rId5"/>
  </sheets>
  <definedNames>
    <definedName function="false" hidden="true" localSheetId="1" name="_xlnm._FilterDatabase" vbProcedure="false">'Perfect Drafts'!$A$4:$Q$62</definedName>
    <definedName function="false" hidden="true" localSheetId="0" name="_xlnm._FilterDatabase" vbProcedure="false">Tournaments!$A$4:$Q$123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<sst xmlns="http://schemas.openxmlformats.org/spreadsheetml/2006/main" count="1095" uniqueCount="485">
  <si>
    <t xml:space="preserve">Tournaments — stat-export coverage</t>
  </si>
  <si>
    <t xml:space="preserve">Diamond → Gold → Silver → Bronze → Iron → Open → Live → Cap → Other (card level wins over Cap/Live tags); inside each tier, events with data first, then by how often you play them, retired ones last. "Event ids still grabbable" = runs from the last 7 days you do NOT have, the only ones OOTP will still export. Generated 2026-08-31.</t>
  </si>
  <si>
    <t xml:space="preserve">Tier</t>
  </si>
  <si>
    <t xml:space="preserve">Tournament</t>
  </si>
  <si>
    <t xml:space="preserve">PT id</t>
  </si>
  <si>
    <t xml:space="preserve">Series (file name)</t>
  </si>
  <si>
    <t xml:space="preserve">Runs on file</t>
  </si>
  <si>
    <t xml:space="preserve">Files</t>
  </si>
  <si>
    <t xml:space="preserve">Latest run</t>
  </si>
  <si>
    <t xml:space="preserve">Latest date</t>
  </si>
  <si>
    <t xml:space="preserve">Days old</t>
  </si>
  <si>
    <t xml:space="preserve">Missing last 7d</t>
  </si>
  <si>
    <t xml:space="preserve">Event ids still grabbable</t>
  </si>
  <si>
    <t xml:space="preserve">Card cap</t>
  </si>
  <si>
    <t xml:space="preserve">Field</t>
  </si>
  <si>
    <t xml:space="preserve">My entries</t>
  </si>
  <si>
    <t xml:space="preserve">My pts</t>
  </si>
  <si>
    <t xml:space="preserve">Still running?</t>
  </si>
  <si>
    <t xml:space="preserve">Run numbering</t>
  </si>
  <si>
    <t xml:space="preserve">Diamond</t>
  </si>
  <si>
    <t xml:space="preserve">Daily Diamond Heart</t>
  </si>
  <si>
    <t xml:space="preserve">185</t>
  </si>
  <si>
    <t xml:space="preserve">diamondheart</t>
  </si>
  <si>
    <t xml:space="preserve">2026-08-28</t>
  </si>
  <si>
    <t xml:space="preserve">1850147, 1850148, 1850149, 1850151, 1850152, 1850153</t>
  </si>
  <si>
    <t xml:space="preserve">40-99</t>
  </si>
  <si>
    <t xml:space="preserve">yes</t>
  </si>
  <si>
    <t xml:space="preserve">matches</t>
  </si>
  <si>
    <t xml:space="preserve">Daily Low Diamond</t>
  </si>
  <si>
    <t xml:space="preserve">134</t>
  </si>
  <si>
    <t xml:space="preserve">lowdiamonddaily</t>
  </si>
  <si>
    <t xml:space="preserve">2026-08-21</t>
  </si>
  <si>
    <t xml:space="preserve">1340164, 1340165, 1340166, 1340167, 1340168, 1340169, 1340170</t>
  </si>
  <si>
    <t xml:space="preserve">Daily Diamond Slots</t>
  </si>
  <si>
    <t xml:space="preserve">180</t>
  </si>
  <si>
    <t xml:space="preserve">diamondslotsdaily</t>
  </si>
  <si>
    <t xml:space="preserve">2026-08-27</t>
  </si>
  <si>
    <t xml:space="preserve">1800166, 1800168, 1800169, 1800170, 1800171</t>
  </si>
  <si>
    <t xml:space="preserve">Daily Diamonds are Forever</t>
  </si>
  <si>
    <t xml:space="preserve">167</t>
  </si>
  <si>
    <t xml:space="preserve">diamondsforever</t>
  </si>
  <si>
    <t xml:space="preserve">2026-08-23</t>
  </si>
  <si>
    <t xml:space="preserve">1670160, 1670161, 1670162, 1670163, 1670164, 1670165, 1670166</t>
  </si>
  <si>
    <t xml:space="preserve">Daily Diamond &amp; Friends Slots</t>
  </si>
  <si>
    <t xml:space="preserve">192</t>
  </si>
  <si>
    <t xml:space="preserve">diamondandfriends</t>
  </si>
  <si>
    <t xml:space="preserve">2026-07-12</t>
  </si>
  <si>
    <t xml:space="preserve">1920090, 1920091, 1920092, 1920093, 1920094, 1920095, 1920096</t>
  </si>
  <si>
    <t xml:space="preserve">Daily Diamond</t>
  </si>
  <si>
    <t xml:space="preserve">133</t>
  </si>
  <si>
    <t xml:space="preserve">diamonddaily</t>
  </si>
  <si>
    <t xml:space="preserve">2026-07-11</t>
  </si>
  <si>
    <t xml:space="preserve">1330164, 1330165, 1330166, 1330167, 1330168, 1330169, 1330170</t>
  </si>
  <si>
    <t xml:space="preserve">Daily Live Diamond</t>
  </si>
  <si>
    <t xml:space="preserve">136</t>
  </si>
  <si>
    <t xml:space="preserve">livediamonddaily</t>
  </si>
  <si>
    <t xml:space="preserve">2026-06-30</t>
  </si>
  <si>
    <t xml:space="preserve">1360164, 1360165, 1360166, 1360167, 1360168, 1360169, 1360170</t>
  </si>
  <si>
    <t xml:space="preserve">Wednesday Ice to See You</t>
  </si>
  <si>
    <t xml:space="preserve">149</t>
  </si>
  <si>
    <t xml:space="preserve">diamondweekly</t>
  </si>
  <si>
    <t xml:space="preserve">2026-08-26</t>
  </si>
  <si>
    <t xml:space="preserve">1490024</t>
  </si>
  <si>
    <t xml:space="preserve">Saturday Diamond Variety</t>
  </si>
  <si>
    <t xml:space="preserve">159</t>
  </si>
  <si>
    <t xml:space="preserve">diamondvariety</t>
  </si>
  <si>
    <t xml:space="preserve">2026-08-30</t>
  </si>
  <si>
    <t xml:space="preserve">1590023</t>
  </si>
  <si>
    <t xml:space="preserve">Diamond Quick</t>
  </si>
  <si>
    <t xml:space="preserve">diamondquick</t>
  </si>
  <si>
    <t xml:space="preserve">—</t>
  </si>
  <si>
    <t xml:space="preserve">Daily Diamond Cap</t>
  </si>
  <si>
    <t xml:space="preserve">135</t>
  </si>
  <si>
    <t xml:space="preserve">EF 4T Diamond</t>
  </si>
  <si>
    <t xml:space="preserve">EF H2H Diamond</t>
  </si>
  <si>
    <t xml:space="preserve">Low Diamond Quick</t>
  </si>
  <si>
    <t xml:space="preserve">Monday Live Low Diamond</t>
  </si>
  <si>
    <t xml:space="preserve">143</t>
  </si>
  <si>
    <t xml:space="preserve">retired — slot 143 is now "Monday Wonky Historical Slots"</t>
  </si>
  <si>
    <t xml:space="preserve">Gold</t>
  </si>
  <si>
    <t xml:space="preserve">Daily Golden Heart</t>
  </si>
  <si>
    <t xml:space="preserve">184</t>
  </si>
  <si>
    <t xml:space="preserve">goldenheart</t>
  </si>
  <si>
    <t xml:space="preserve">1840148, 1840149, 1840150, 1840152, 1840153, 1840154</t>
  </si>
  <si>
    <t xml:space="preserve">40-89</t>
  </si>
  <si>
    <t xml:space="preserve">Daily Early Gold</t>
  </si>
  <si>
    <t xml:space="preserve">128</t>
  </si>
  <si>
    <t xml:space="preserve">earlygold</t>
  </si>
  <si>
    <t xml:space="preserve">1280168, 1280169, 1280170</t>
  </si>
  <si>
    <t xml:space="preserve">Daily Gold Slots</t>
  </si>
  <si>
    <t xml:space="preserve">132</t>
  </si>
  <si>
    <t xml:space="preserve">goldslotsdaily</t>
  </si>
  <si>
    <t xml:space="preserve">1320170</t>
  </si>
  <si>
    <t xml:space="preserve">Daily Low Gold Retrospecticus</t>
  </si>
  <si>
    <t xml:space="preserve">166</t>
  </si>
  <si>
    <t xml:space="preserve">lgretro</t>
  </si>
  <si>
    <t xml:space="preserve">1660160, 1660161, 1660162, 1660163, 1660166</t>
  </si>
  <si>
    <t xml:space="preserve">40-84</t>
  </si>
  <si>
    <t xml:space="preserve">Daily Sporer's Golden Childhood</t>
  </si>
  <si>
    <t xml:space="preserve">191</t>
  </si>
  <si>
    <t xml:space="preserve">goldenchildhood</t>
  </si>
  <si>
    <t xml:space="preserve">1910090, 1910091, 1910092, 1910094, 1910095, 1910096</t>
  </si>
  <si>
    <t xml:space="preserve">Daily Goldfather II</t>
  </si>
  <si>
    <t xml:space="preserve">129</t>
  </si>
  <si>
    <t xml:space="preserve">goldfather</t>
  </si>
  <si>
    <t xml:space="preserve">2026-07-22</t>
  </si>
  <si>
    <t xml:space="preserve">1290164, 1290165, 1290166, 1290167, 1290168, 1290169, 1290170</t>
  </si>
  <si>
    <t xml:space="preserve">Tuesday Sporer's Sandlot</t>
  </si>
  <si>
    <t xml:space="preserve">147</t>
  </si>
  <si>
    <t xml:space="preserve">sandlot</t>
  </si>
  <si>
    <t xml:space="preserve">1470024</t>
  </si>
  <si>
    <t xml:space="preserve">60-89</t>
  </si>
  <si>
    <t xml:space="preserve">Sunday High Iron Floor and Gold Ceiling</t>
  </si>
  <si>
    <t xml:space="preserve">160</t>
  </si>
  <si>
    <t xml:space="preserve">highironfloorgoldceilingweekly</t>
  </si>
  <si>
    <t xml:space="preserve">50-89</t>
  </si>
  <si>
    <t xml:space="preserve">Thursday Night Gold Rush</t>
  </si>
  <si>
    <t xml:space="preserve">153</t>
  </si>
  <si>
    <t xml:space="preserve">goldweekly</t>
  </si>
  <si>
    <t xml:space="preserve">1530024</t>
  </si>
  <si>
    <t xml:space="preserve">Monday Wonky Historical Slots</t>
  </si>
  <si>
    <t xml:space="preserve">1430023, 1430024</t>
  </si>
  <si>
    <t xml:space="preserve">Daily Gold Cap</t>
  </si>
  <si>
    <t xml:space="preserve">Daily Live Gold</t>
  </si>
  <si>
    <t xml:space="preserve">EF 4T Gold</t>
  </si>
  <si>
    <t xml:space="preserve">EF H2H Gold</t>
  </si>
  <si>
    <t xml:space="preserve">Gold Quick</t>
  </si>
  <si>
    <t xml:space="preserve">Low Gold Quick</t>
  </si>
  <si>
    <t xml:space="preserve">low gold</t>
  </si>
  <si>
    <t xml:space="preserve">Daily Low Gold Retrospectus</t>
  </si>
  <si>
    <t xml:space="preserve">duplicate listing — exports counted on "Daily Low Gold Retrospecticus"</t>
  </si>
  <si>
    <t xml:space="preserve">Silver</t>
  </si>
  <si>
    <t xml:space="preserve">Daily Late Silver</t>
  </si>
  <si>
    <t xml:space="preserve">124</t>
  </si>
  <si>
    <t xml:space="preserve">latesilver</t>
  </si>
  <si>
    <t xml:space="preserve">2026-08-29</t>
  </si>
  <si>
    <t xml:space="preserve">1240164, 1240169, 1240170</t>
  </si>
  <si>
    <t xml:space="preserve">40-79</t>
  </si>
  <si>
    <t xml:space="preserve">Daily Silver &amp; Friends Deadball Slots</t>
  </si>
  <si>
    <t xml:space="preserve">190</t>
  </si>
  <si>
    <t xml:space="preserve">silverandfriends</t>
  </si>
  <si>
    <t xml:space="preserve">1900091, 1900092, 1900093, 1900094, 1900096, 1900097</t>
  </si>
  <si>
    <t xml:space="preserve">Daily Silver Slamboree</t>
  </si>
  <si>
    <t xml:space="preserve">165</t>
  </si>
  <si>
    <t xml:space="preserve">silverslamboree</t>
  </si>
  <si>
    <t xml:space="preserve">1650161, 1650162, 1650163, 1650166, 1650167</t>
  </si>
  <si>
    <t xml:space="preserve">Daily Silver Heart</t>
  </si>
  <si>
    <t xml:space="preserve">183</t>
  </si>
  <si>
    <t xml:space="preserve">silverheart</t>
  </si>
  <si>
    <t xml:space="preserve">1830148, 1830149, 1830150, 1830152, 1830153</t>
  </si>
  <si>
    <t xml:space="preserve">Daily Silver Slots</t>
  </si>
  <si>
    <t xml:space="preserve">127</t>
  </si>
  <si>
    <t xml:space="preserve">silverslotsdaily</t>
  </si>
  <si>
    <t xml:space="preserve">1270165, 1270166, 1270168, 1270170</t>
  </si>
  <si>
    <t xml:space="preserve">Daily Live Silver</t>
  </si>
  <si>
    <t xml:space="preserve">126</t>
  </si>
  <si>
    <t xml:space="preserve">livesilverdaily</t>
  </si>
  <si>
    <t xml:space="preserve">2026-07-31</t>
  </si>
  <si>
    <t xml:space="preserve">1260164, 1260165, 1260166, 1260167, 1260168, 1260169, 1260170</t>
  </si>
  <si>
    <t xml:space="preserve">Thursday Silver Spectacular</t>
  </si>
  <si>
    <t xml:space="preserve">151</t>
  </si>
  <si>
    <t xml:space="preserve">silverweekly</t>
  </si>
  <si>
    <t xml:space="preserve">1510024</t>
  </si>
  <si>
    <t xml:space="preserve">Friday Nightmare Cap</t>
  </si>
  <si>
    <t xml:space="preserve">154</t>
  </si>
  <si>
    <t xml:space="preserve">1540023</t>
  </si>
  <si>
    <t xml:space="preserve">50-74</t>
  </si>
  <si>
    <t xml:space="preserve">Daily Early Silver</t>
  </si>
  <si>
    <t xml:space="preserve">Daily Silver Cap</t>
  </si>
  <si>
    <t xml:space="preserve">EF 4T Silver</t>
  </si>
  <si>
    <t xml:space="preserve">EF H2H Silver</t>
  </si>
  <si>
    <t xml:space="preserve">Silver Quick</t>
  </si>
  <si>
    <t xml:space="preserve">Bronze</t>
  </si>
  <si>
    <t xml:space="preserve">Daily Bronze 1910-59</t>
  </si>
  <si>
    <t xml:space="preserve">164</t>
  </si>
  <si>
    <t xml:space="preserve">bronze10to50</t>
  </si>
  <si>
    <t xml:space="preserve">40-69</t>
  </si>
  <si>
    <t xml:space="preserve">Daily Bronze PTCS 3 Replay Slots</t>
  </si>
  <si>
    <t xml:space="preserve">189</t>
  </si>
  <si>
    <t xml:space="preserve">bronzeptcs3</t>
  </si>
  <si>
    <t xml:space="preserve">Monday Up And At Them Bronze</t>
  </si>
  <si>
    <t xml:space="preserve">142</t>
  </si>
  <si>
    <t xml:space="preserve">bronzeweekly</t>
  </si>
  <si>
    <t xml:space="preserve">Daily Bronze OOTP Era</t>
  </si>
  <si>
    <t xml:space="preserve">bronzeootp</t>
  </si>
  <si>
    <t xml:space="preserve">Daily Bronze Only Cap</t>
  </si>
  <si>
    <t xml:space="preserve">bronzeonlycapdaily</t>
  </si>
  <si>
    <t xml:space="preserve">Daily Low Bronze</t>
  </si>
  <si>
    <t xml:space="preserve">122</t>
  </si>
  <si>
    <t xml:space="preserve">1220164, 1220165, 1220166, 1220167, 1220168, 1220169, 1220170</t>
  </si>
  <si>
    <t xml:space="preserve">Daily Return of the Bronze</t>
  </si>
  <si>
    <t xml:space="preserve">118</t>
  </si>
  <si>
    <t xml:space="preserve">1180164, 1180165, 1180166, 1180167, 1180168, 1180169, 1180170</t>
  </si>
  <si>
    <t xml:space="preserve">Bronze Quick</t>
  </si>
  <si>
    <t xml:space="preserve">Daily Bronze Only Curiosities</t>
  </si>
  <si>
    <t xml:space="preserve">Daily Early Bronze</t>
  </si>
  <si>
    <t xml:space="preserve">Daily Late Bronze</t>
  </si>
  <si>
    <t xml:space="preserve">Daily Live Bronze</t>
  </si>
  <si>
    <t xml:space="preserve">Daily Low Bronze Only</t>
  </si>
  <si>
    <t xml:space="preserve">60-64</t>
  </si>
  <si>
    <t xml:space="preserve">EF 4T Bronze</t>
  </si>
  <si>
    <t xml:space="preserve">EF H2H Bronze</t>
  </si>
  <si>
    <t xml:space="preserve">Saturday Bronze Cap</t>
  </si>
  <si>
    <t xml:space="preserve">(series "bronzesequel")</t>
  </si>
  <si>
    <t xml:space="preserve">bronzesequel</t>
  </si>
  <si>
    <t xml:space="preserve">series not linked to a catalog tournament</t>
  </si>
  <si>
    <t xml:space="preserve">Daily Bronze The Sequel</t>
  </si>
  <si>
    <t xml:space="preserve">retired — slot 164 is now "Daily Bronze 1910-59"</t>
  </si>
  <si>
    <t xml:space="preserve">Iron</t>
  </si>
  <si>
    <t xml:space="preserve">Daily Dank Iron</t>
  </si>
  <si>
    <t xml:space="preserve">40-49</t>
  </si>
  <si>
    <t xml:space="preserve">Daily Iron &amp; Friends OOTP Era Slots</t>
  </si>
  <si>
    <t xml:space="preserve">Daily Iron Cap</t>
  </si>
  <si>
    <t xml:space="preserve">40-59</t>
  </si>
  <si>
    <t xml:space="preserve">Daily Iron Dreamland</t>
  </si>
  <si>
    <t xml:space="preserve">Daily Iron Lunch</t>
  </si>
  <si>
    <t xml:space="preserve">Daily Iron Strikes Back</t>
  </si>
  <si>
    <t xml:space="preserve">Daily Late Iron</t>
  </si>
  <si>
    <t xml:space="preserve">Daily Live Iron</t>
  </si>
  <si>
    <t xml:space="preserve">EF 4T Iron</t>
  </si>
  <si>
    <t xml:space="preserve">EF H2H Iron</t>
  </si>
  <si>
    <t xml:space="preserve">Friday Danksville</t>
  </si>
  <si>
    <t xml:space="preserve">Iron Quick</t>
  </si>
  <si>
    <t xml:space="preserve">Low Iron Quick</t>
  </si>
  <si>
    <t xml:space="preserve">PTCS 2 Iron Replay.</t>
  </si>
  <si>
    <t xml:space="preserve">Saturday Iron Warriors</t>
  </si>
  <si>
    <t xml:space="preserve">Open</t>
  </si>
  <si>
    <t xml:space="preserve">Daily Live Open</t>
  </si>
  <si>
    <t xml:space="preserve">137</t>
  </si>
  <si>
    <t xml:space="preserve">liveopendaily</t>
  </si>
  <si>
    <t xml:space="preserve">2026-06-10</t>
  </si>
  <si>
    <t xml:space="preserve">1370164, 1370165, 1370166, 1370167, 1370168, 1370169, 1370170</t>
  </si>
  <si>
    <t xml:space="preserve">40-100</t>
  </si>
  <si>
    <t xml:space="preserve">Monday Gold Floor Cap</t>
  </si>
  <si>
    <t xml:space="preserve">144</t>
  </si>
  <si>
    <t xml:space="preserve">goldfloorcapweekly</t>
  </si>
  <si>
    <t xml:space="preserve">2026-07-28</t>
  </si>
  <si>
    <t xml:space="preserve">1440023, 1440024</t>
  </si>
  <si>
    <t xml:space="preserve">80-105</t>
  </si>
  <si>
    <t xml:space="preserve">Sunday Open Main Event</t>
  </si>
  <si>
    <t xml:space="preserve">162</t>
  </si>
  <si>
    <t xml:space="preserve">openweekly</t>
  </si>
  <si>
    <t xml:space="preserve">1620024</t>
  </si>
  <si>
    <t xml:space="preserve">Sunday Open Slots</t>
  </si>
  <si>
    <t xml:space="preserve">161</t>
  </si>
  <si>
    <t xml:space="preserve">openslotsweekly</t>
  </si>
  <si>
    <t xml:space="preserve">2026-07-26</t>
  </si>
  <si>
    <t xml:space="preserve">1610023, 1610024</t>
  </si>
  <si>
    <t xml:space="preserve">Daily Open Slots</t>
  </si>
  <si>
    <t xml:space="preserve">141</t>
  </si>
  <si>
    <t xml:space="preserve">openslotsdaily</t>
  </si>
  <si>
    <t xml:space="preserve">1410164, 1410165, 1410166, 1410168, 1410169, 1410170</t>
  </si>
  <si>
    <t xml:space="preserve">Wednesday Night of the Living Deadball</t>
  </si>
  <si>
    <t xml:space="preserve">150</t>
  </si>
  <si>
    <t xml:space="preserve">deadballweekly</t>
  </si>
  <si>
    <t xml:space="preserve">1500024</t>
  </si>
  <si>
    <t xml:space="preserve">Tuesday Live</t>
  </si>
  <si>
    <t xml:space="preserve">146</t>
  </si>
  <si>
    <t xml:space="preserve">1460023, 1460024</t>
  </si>
  <si>
    <t xml:space="preserve">Friday Night Live Slots</t>
  </si>
  <si>
    <t xml:space="preserve">156</t>
  </si>
  <si>
    <t xml:space="preserve">40-105</t>
  </si>
  <si>
    <t xml:space="preserve">Daily Open 1930-89</t>
  </si>
  <si>
    <t xml:space="preserve">Daily PTCS 4 Cap Replay</t>
  </si>
  <si>
    <t xml:space="preserve">Daily Wide Open</t>
  </si>
  <si>
    <t xml:space="preserve">EF 4T Open</t>
  </si>
  <si>
    <t xml:space="preserve">EF H2H Open</t>
  </si>
  <si>
    <t xml:space="preserve">Live Quick</t>
  </si>
  <si>
    <t xml:space="preserve">Open Quick</t>
  </si>
  <si>
    <t xml:space="preserve">Open Slot Quick</t>
  </si>
  <si>
    <t xml:space="preserve">Live</t>
  </si>
  <si>
    <t xml:space="preserve">Live Slot Quick</t>
  </si>
  <si>
    <t xml:space="preserve">Cap</t>
  </si>
  <si>
    <t xml:space="preserve">Thursday CWhit's Cap Challenge 4</t>
  </si>
  <si>
    <t xml:space="preserve">187</t>
  </si>
  <si>
    <t xml:space="preserve">c4q4</t>
  </si>
  <si>
    <t xml:space="preserve">MISMATCH — file numbers are on a different counter</t>
  </si>
  <si>
    <t xml:space="preserve">Daily Open High Cap</t>
  </si>
  <si>
    <t xml:space="preserve">139</t>
  </si>
  <si>
    <t xml:space="preserve">1390164, 1390165, 1390166, 1390167, 1390168, 1390169, 1390170</t>
  </si>
  <si>
    <t xml:space="preserve">Daily Open Low Cap</t>
  </si>
  <si>
    <t xml:space="preserve">Thursday Mishmash Cap</t>
  </si>
  <si>
    <t xml:space="preserve">Thursday CWhit's Cap Challenge 3</t>
  </si>
  <si>
    <t xml:space="preserve">retired — slot 187 is now "Thursday CWhit's Cap Challenge 4"</t>
  </si>
  <si>
    <t xml:space="preserve">Thursday CWhit's Cap Challenge 2</t>
  </si>
  <si>
    <t xml:space="preserve">Thursday CWhit's Cap Challenge</t>
  </si>
  <si>
    <t xml:space="preserve">duplicate listing — exports counted on "Thursday CWhit's Cap Challenge 4"</t>
  </si>
  <si>
    <t xml:space="preserve">Other</t>
  </si>
  <si>
    <t xml:space="preserve">Tuesday Up to 1969</t>
  </si>
  <si>
    <t xml:space="preserve">145</t>
  </si>
  <si>
    <t xml:space="preserve">upto1969weekly</t>
  </si>
  <si>
    <t xml:space="preserve">Wednesday 1950 to Now</t>
  </si>
  <si>
    <t xml:space="preserve">148</t>
  </si>
  <si>
    <t xml:space="preserve">1950tonow</t>
  </si>
  <si>
    <t xml:space="preserve">Dr. Dynastic's Daily Time Travelers Slots</t>
  </si>
  <si>
    <t xml:space="preserve">193</t>
  </si>
  <si>
    <t xml:space="preserve">Cwhit 4.2</t>
  </si>
  <si>
    <t xml:space="preserve">Cwhit4</t>
  </si>
  <si>
    <t xml:space="preserve">Daily Negro Leagues</t>
  </si>
  <si>
    <t xml:space="preserve">Daily Time Travelers Slots</t>
  </si>
  <si>
    <t xml:space="preserve">My Custom Tournament</t>
  </si>
  <si>
    <t xml:space="preserve">PTMS 2 Tourney 1</t>
  </si>
  <si>
    <t xml:space="preserve">PTMS 2 Tourney 2</t>
  </si>
  <si>
    <t xml:space="preserve">PTMS 2 Tourney 3</t>
  </si>
  <si>
    <t xml:space="preserve">Quick Dank</t>
  </si>
  <si>
    <t xml:space="preserve">Saturday Negro Leagues Slots</t>
  </si>
  <si>
    <t xml:space="preserve">(series "strugglingsleep")</t>
  </si>
  <si>
    <t xml:space="preserve">strugglingsleep</t>
  </si>
  <si>
    <t xml:space="preserve">(series "wonkyslots")</t>
  </si>
  <si>
    <t xml:space="preserve">wonkyslots</t>
  </si>
  <si>
    <t xml:space="preserve">Tuesday Up To 1969</t>
  </si>
  <si>
    <t xml:space="preserve">duplicate listing — exports counted on "Tuesday Up to 1969"</t>
  </si>
  <si>
    <t xml:space="preserve">Perfect Drafts — stat-export coverage</t>
  </si>
  <si>
    <t xml:space="preserve">Same columns. PD Daily is the biggest points category and the thinnest data. Generated 2026-08-31.</t>
  </si>
  <si>
    <t xml:space="preserve">Laptophound's Daily 5L Deadball</t>
  </si>
  <si>
    <t xml:space="preserve">207</t>
  </si>
  <si>
    <t xml:space="preserve">5ldeadball</t>
  </si>
  <si>
    <t xml:space="preserve">2070168, 2070169, 2070170</t>
  </si>
  <si>
    <t xml:space="preserve">Laptophound's Daily 6L Power Play</t>
  </si>
  <si>
    <t xml:space="preserve">218</t>
  </si>
  <si>
    <t xml:space="preserve">6lpowerplay</t>
  </si>
  <si>
    <t xml:space="preserve">2180168, 2180169, 2180170</t>
  </si>
  <si>
    <t xml:space="preserve">Daily Trying to Look Busy - D&amp;G</t>
  </si>
  <si>
    <t xml:space="preserve">211</t>
  </si>
  <si>
    <t xml:space="preserve">2110164, 2110165, 2110166, 2110167, 2110168, 2110169, 2110170</t>
  </si>
  <si>
    <t xml:space="preserve">Daily Just Order Pizza for Dinner - D&amp;G</t>
  </si>
  <si>
    <t xml:space="preserve">217</t>
  </si>
  <si>
    <t xml:space="preserve">2170165, 2170166, 2170167, 2170168, 2170169, 2170170, 2170171</t>
  </si>
  <si>
    <t xml:space="preserve">Daily Live All Night</t>
  </si>
  <si>
    <t xml:space="preserve">226</t>
  </si>
  <si>
    <t xml:space="preserve">2260164, 2260165, 2260166, 2260167, 2260168, 2260169, 2260170</t>
  </si>
  <si>
    <t xml:space="preserve">Daily Don't Forget to Pick up the Kids - Live</t>
  </si>
  <si>
    <t xml:space="preserve">213</t>
  </si>
  <si>
    <t xml:space="preserve">2130164, 2130165, 2130166, 2130167, 2130168, 2130169, 2130170</t>
  </si>
  <si>
    <t xml:space="preserve">Daily Live Speed Run</t>
  </si>
  <si>
    <t xml:space="preserve">220</t>
  </si>
  <si>
    <t xml:space="preserve">2200164, 2200165, 2200166, 2200167, 2200168, 2200169, 2200170</t>
  </si>
  <si>
    <t xml:space="preserve">Daily Nocturnal Mixed Bag</t>
  </si>
  <si>
    <t xml:space="preserve">255</t>
  </si>
  <si>
    <t xml:space="preserve">2550153, 2550154, 2550155, 2550156, 2550157, 2550158, 2550159</t>
  </si>
  <si>
    <t xml:space="preserve">Daily OOTP and Chill</t>
  </si>
  <si>
    <t xml:space="preserve">222</t>
  </si>
  <si>
    <t xml:space="preserve">2220164, 2220165, 2220166, 2220167, 2220168, 2220169, 2220170</t>
  </si>
  <si>
    <t xml:space="preserve">Daily Tuck in Time</t>
  </si>
  <si>
    <t xml:space="preserve">223</t>
  </si>
  <si>
    <t xml:space="preserve">2230164, 2230165, 2230166, 2230167, 2230168, 2230169, 2230170</t>
  </si>
  <si>
    <t xml:space="preserve">Daily Live Breakfast</t>
  </si>
  <si>
    <t xml:space="preserve">205</t>
  </si>
  <si>
    <t xml:space="preserve">2050164, 2050165, 2050166, 2050167, 2050168, 2050169, 2050170</t>
  </si>
  <si>
    <t xml:space="preserve">Daily Up Late with Rich - LAD</t>
  </si>
  <si>
    <t xml:space="preserve">225</t>
  </si>
  <si>
    <t xml:space="preserve">2250164, 2250165, 2250166, 2250167, 2250168, 2250169, 2250170</t>
  </si>
  <si>
    <t xml:space="preserve">Daily Struggling to Sleep - DBL</t>
  </si>
  <si>
    <t xml:space="preserve">224</t>
  </si>
  <si>
    <t xml:space="preserve">2240164, 2240165, 2240166, 2240167, 2240168, 2240169, 2240170</t>
  </si>
  <si>
    <t xml:space="preserve">Daily Rise and Shine</t>
  </si>
  <si>
    <t xml:space="preserve">203</t>
  </si>
  <si>
    <t xml:space="preserve">2030164, 2030165, 2030166, 2030167, 2030168, 2030169, 2030170</t>
  </si>
  <si>
    <t xml:space="preserve">Daily Historical Primetime</t>
  </si>
  <si>
    <t xml:space="preserve">219</t>
  </si>
  <si>
    <t xml:space="preserve">2190164, 2190165, 2190166, 2190167, 2190168, 2190169, 2190170</t>
  </si>
  <si>
    <t xml:space="preserve">Daily Good Orderly Evening</t>
  </si>
  <si>
    <t xml:space="preserve">259</t>
  </si>
  <si>
    <t xml:space="preserve">2590090, 2590091, 2590092, 2590093, 2590094, 2590095, 2590096</t>
  </si>
  <si>
    <t xml:space="preserve">Daily They've Gone to Plaid</t>
  </si>
  <si>
    <t xml:space="preserve">221</t>
  </si>
  <si>
    <t xml:space="preserve">2210164, 2210165, 2210166, 2210167, 2210168, 2210169, 2210170</t>
  </si>
  <si>
    <t xml:space="preserve">Dr. Dynastic's Doc Rock Derby</t>
  </si>
  <si>
    <t xml:space="preserve">216</t>
  </si>
  <si>
    <t xml:space="preserve">2160165, 2160166, 2160167, 2160168, 2160169, 2160170, 2160171</t>
  </si>
  <si>
    <t xml:space="preserve">Daily Hitters First</t>
  </si>
  <si>
    <t xml:space="preserve">258</t>
  </si>
  <si>
    <t xml:space="preserve">2580091, 2580092, 2580093, 2580094, 2580095, 2580096, 2580097</t>
  </si>
  <si>
    <t xml:space="preserve">Daily Morning Mixed Bag</t>
  </si>
  <si>
    <t xml:space="preserve">252</t>
  </si>
  <si>
    <t xml:space="preserve">2520153, 2520154, 2520155, 2520156, 2520157, 2520158, 2520159</t>
  </si>
  <si>
    <t xml:space="preserve">Sunday PD Main Event</t>
  </si>
  <si>
    <t xml:space="preserve">247</t>
  </si>
  <si>
    <t xml:space="preserve">2470023, 2470024</t>
  </si>
  <si>
    <t xml:space="preserve">Daily Evening Mixed Bag</t>
  </si>
  <si>
    <t xml:space="preserve">254</t>
  </si>
  <si>
    <t xml:space="preserve">2540154, 2540155, 2540156, 2540157, 2540158, 2540159, 2540160</t>
  </si>
  <si>
    <t xml:space="preserve">TWIPT Saturday Showdown</t>
  </si>
  <si>
    <t xml:space="preserve">244</t>
  </si>
  <si>
    <t xml:space="preserve">2440023, 2440024</t>
  </si>
  <si>
    <t xml:space="preserve">Tuesday Evening Adrenaline Rush</t>
  </si>
  <si>
    <t xml:space="preserve">232</t>
  </si>
  <si>
    <t xml:space="preserve">2320023, 2320024</t>
  </si>
  <si>
    <t xml:space="preserve">Daily Double Espresso Morning</t>
  </si>
  <si>
    <t xml:space="preserve">204</t>
  </si>
  <si>
    <t xml:space="preserve">2040164, 2040165, 2040166, 2040167, 2040168, 2040169, 2040170</t>
  </si>
  <si>
    <t xml:space="preserve">Friday Draft About Nothing</t>
  </si>
  <si>
    <t xml:space="preserve">239</t>
  </si>
  <si>
    <t xml:space="preserve">2390023</t>
  </si>
  <si>
    <t xml:space="preserve">Sunday Up and Down the Ladder</t>
  </si>
  <si>
    <t xml:space="preserve">246</t>
  </si>
  <si>
    <t xml:space="preserve">2460023, 2460024</t>
  </si>
  <si>
    <t xml:space="preserve">Thursday Overnight Under the Covers</t>
  </si>
  <si>
    <t xml:space="preserve">236</t>
  </si>
  <si>
    <t xml:space="preserve">2360023, 2360024</t>
  </si>
  <si>
    <t xml:space="preserve">Daily Mixed Up My Lunch</t>
  </si>
  <si>
    <t xml:space="preserve">253</t>
  </si>
  <si>
    <t xml:space="preserve">2530154, 2530155, 2530156, 2530157, 2530158, 2530159, 2530160</t>
  </si>
  <si>
    <t xml:space="preserve">Daily Pitchers First</t>
  </si>
  <si>
    <t xml:space="preserve">257</t>
  </si>
  <si>
    <t xml:space="preserve">2570091, 2570092, 2570093, 2570094, 2570095, 2570096, 2570097</t>
  </si>
  <si>
    <t xml:space="preserve">Daily Rocking Chair Lunch</t>
  </si>
  <si>
    <t xml:space="preserve">210</t>
  </si>
  <si>
    <t xml:space="preserve">2100164, 2100165, 2100166, 2100167, 2100168, 2100169, 2100170</t>
  </si>
  <si>
    <t xml:space="preserve">Daily This Could've Been an Email - RCK</t>
  </si>
  <si>
    <t xml:space="preserve">214</t>
  </si>
  <si>
    <t xml:space="preserve">2140164, 2140165, 2140166, 2140167, 2140168, 2140169, 2140170</t>
  </si>
  <si>
    <t xml:space="preserve">Daily Bagels and Schmear with EVCinNYC</t>
  </si>
  <si>
    <t xml:space="preserve">206</t>
  </si>
  <si>
    <t xml:space="preserve">2060164, 2060165, 2060166, 2060167, 2060168, 2060169, 2060170</t>
  </si>
  <si>
    <t xml:space="preserve">Daily Meeting About Meetings - ORD</t>
  </si>
  <si>
    <t xml:space="preserve">209</t>
  </si>
  <si>
    <t xml:space="preserve">2090164, 2090165, 2090166, 2090167, 2090168, 2090169, 2090170</t>
  </si>
  <si>
    <t xml:space="preserve">Daily Snack Time on the Ladder</t>
  </si>
  <si>
    <t xml:space="preserve">212</t>
  </si>
  <si>
    <t xml:space="preserve">2120164, 2120165, 2120166, 2120167, 2120168, 2120169, 2120170</t>
  </si>
  <si>
    <t xml:space="preserve">Monday Night History Lesson</t>
  </si>
  <si>
    <t xml:space="preserve">229</t>
  </si>
  <si>
    <t xml:space="preserve">2290023, 2290024</t>
  </si>
  <si>
    <t xml:space="preserve">Saturday Can't Sleep Clown Will Eat Me</t>
  </si>
  <si>
    <t xml:space="preserve">242</t>
  </si>
  <si>
    <t xml:space="preserve">2420023, 2420024</t>
  </si>
  <si>
    <t xml:space="preserve">Saturday Shrinkage</t>
  </si>
  <si>
    <t xml:space="preserve">243</t>
  </si>
  <si>
    <t xml:space="preserve">2430023, 2430024</t>
  </si>
  <si>
    <t xml:space="preserve">Thursday Night Put it in the Books</t>
  </si>
  <si>
    <t xml:space="preserve">238</t>
  </si>
  <si>
    <t xml:space="preserve">2380023</t>
  </si>
  <si>
    <t xml:space="preserve">Tuesday Live Lampooning</t>
  </si>
  <si>
    <t xml:space="preserve">231</t>
  </si>
  <si>
    <t xml:space="preserve">2310023, 2310024</t>
  </si>
  <si>
    <t xml:space="preserve">Daily Around the Breakfast Table</t>
  </si>
  <si>
    <t xml:space="preserve">256</t>
  </si>
  <si>
    <t xml:space="preserve">Daily Around the Horn at Night</t>
  </si>
  <si>
    <t xml:space="preserve">260</t>
  </si>
  <si>
    <t xml:space="preserve">Daily Honey I Shrunk the Roster</t>
  </si>
  <si>
    <t xml:space="preserve">215</t>
  </si>
  <si>
    <t xml:space="preserve">Daily Scrum</t>
  </si>
  <si>
    <t xml:space="preserve">208</t>
  </si>
  <si>
    <t xml:space="preserve">Friday Night Live PD</t>
  </si>
  <si>
    <t xml:space="preserve">241</t>
  </si>
  <si>
    <t xml:space="preserve">Saturday Around the Horn After Dark</t>
  </si>
  <si>
    <t xml:space="preserve">262</t>
  </si>
  <si>
    <t xml:space="preserve">Sunday Morning Markus' Revenge</t>
  </si>
  <si>
    <t xml:space="preserve">245</t>
  </si>
  <si>
    <t xml:space="preserve">Tuesday Double Rocking Chairs</t>
  </si>
  <si>
    <t xml:space="preserve">230</t>
  </si>
  <si>
    <t xml:space="preserve">Wednesday Double PD</t>
  </si>
  <si>
    <t xml:space="preserve">234</t>
  </si>
  <si>
    <t xml:space="preserve">Daily Just Order Pizza PD</t>
  </si>
  <si>
    <t xml:space="preserve">Daliy Trying To Look Busy PD</t>
  </si>
  <si>
    <t xml:space="preserve">Laptop 6L Powerplay</t>
  </si>
  <si>
    <t xml:space="preserve">PD Quick</t>
  </si>
  <si>
    <t xml:space="preserve">Laptophound's Daily Treasure Trove Late Leisure Lounge</t>
  </si>
  <si>
    <t xml:space="preserve">retired — slot 218 is now "Laptophound's Daily 6L Power Play"</t>
  </si>
  <si>
    <t xml:space="preserve">Daily Double Snack Time</t>
  </si>
  <si>
    <t xml:space="preserve">retired — slot 212 is now "Daily Snack Time on the Ladder"</t>
  </si>
  <si>
    <t xml:space="preserve">Daily Up Late with Rich</t>
  </si>
  <si>
    <t xml:space="preserve">retired — slot 225 is now "Daily Up Late with Rich - LAD"</t>
  </si>
  <si>
    <t xml:space="preserve">Daily Just Order Pizza for Dinner</t>
  </si>
  <si>
    <t xml:space="preserve">retired — slot 217 is now "Daily Just Order Pizza for Dinner - D&amp;G"</t>
  </si>
  <si>
    <t xml:space="preserve">Laptophound's Daily Deadball Leisure Lounge</t>
  </si>
  <si>
    <t xml:space="preserve">retired — slot 207 is now "Laptophound's Daily 5L Deadball"</t>
  </si>
  <si>
    <t xml:space="preserve">Coverage summary</t>
  </si>
  <si>
    <t xml:space="preserve">As of 2026-08-31. OOTP only exports about the last 7 days, so any run older than that is gone for good.</t>
  </si>
  <si>
    <t xml:space="preserve">Tournaments listed</t>
  </si>
  <si>
    <t xml:space="preserve">   …still running</t>
  </si>
  <si>
    <t xml:space="preserve">   …with at least one export</t>
  </si>
  <si>
    <t xml:space="preserve">   …with an export inside 7 days</t>
  </si>
  <si>
    <t xml:space="preserve">Perfect Drafts listed</t>
  </si>
  <si>
    <t xml:space="preserve">Export files on disk</t>
  </si>
  <si>
    <t xml:space="preserve">Runs imported to the database</t>
  </si>
  <si>
    <t xml:space="preserve">Runs still grabbable (last 7 days)</t>
  </si>
  <si>
    <t xml:space="preserve">Column notes</t>
  </si>
  <si>
    <t xml:space="preserve">• PT id — the first three digits of an event id. A run is &lt;PT id&gt;&lt;4-digit run&gt;, so tournament 185 run 151 is event 1850151.</t>
  </si>
  <si>
    <t xml:space="preserve">• Still running? — OOTP REUSES an id slot when a tournament is renamed. Slot 218 was Treasure Trove until Aug 6 and is 6L Power Play now. A row naming a successor is retired: its runs cannot be exported and those ids belong to the new event.</t>
  </si>
  <si>
    <t xml:space="preserve">• Runs on file vs Files — "Runs on file" is what the database imported, "Files" is what sits in Archive/Completed. A gap means pnpm import:observed has not been run.</t>
  </si>
  <si>
    <t xml:space="preserve">• Days old — age of your newest export. Over 7 and the older runs are unrecoverable.</t>
  </si>
  <si>
    <t xml:space="preserve">• Event ids still grabbable — from each event's own id ladder and cadence in your results history. Blank means you have everything, the event is retired, or there is no ladder to compute from.</t>
  </si>
  <si>
    <t xml:space="preserve">• Run numbering — the filer names files by the id you type; where that counter disagrees with the PT run number the row says MISMATCH and the missing-run maths is unreliable.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</si>
</sst>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F49"/>
      <name val="Arial"/>
      <family val="0"/>
      <charset val="1"/>
    </font>
    <font>
      <i val="true"/>
      <sz val="9"/>
      <color rgb="FF5A6E71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.5"/>
      <name val="Arial"/>
      <family val="0"/>
      <charset val="1"/>
    </font>
    <font>
      <sz val="9.5"/>
      <name val="Arial"/>
      <family val="0"/>
      <charset val="1"/>
    </font>
    <font>
      <b val="true"/>
      <sz val="9.5"/>
      <color rgb="FF9C3A1E"/>
      <name val="Arial"/>
      <family val="0"/>
      <charset val="1"/>
    </font>
    <font>
      <i val="true"/>
      <sz val="9"/>
      <color rgb="FF7A6A55"/>
      <name val="Arial"/>
      <family val="0"/>
      <charset val="1"/>
    </font>
    <font>
      <b val="true"/>
      <sz val="9"/>
      <color rgb="FF9C3A1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0"/>
      <color rgb="FF1F3F49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3F49"/>
        <bgColor rgb="FF333333"/>
      </patternFill>
    </fill>
    <fill>
      <patternFill patternType="solid">
        <fgColor rgb="FFE4ECF7"/>
        <bgColor rgb="FFEAF0F1"/>
      </patternFill>
    </fill>
    <fill>
      <patternFill patternType="solid">
        <fgColor rgb="FFD8ECE0"/>
        <bgColor rgb="FFE9E9E7"/>
      </patternFill>
    </fill>
    <fill>
      <patternFill patternType="solid">
        <fgColor rgb="FFFCF0D8"/>
        <bgColor rgb="FFFBF1DA"/>
      </patternFill>
    </fill>
    <fill>
      <patternFill patternType="solid">
        <fgColor rgb="FFFBE3DC"/>
        <bgColor rgb="FFF6E7DC"/>
      </patternFill>
    </fill>
    <fill>
      <patternFill patternType="solid">
        <fgColor rgb="FFFBF1DA"/>
        <bgColor rgb="FFFCF0D8"/>
      </patternFill>
    </fill>
    <fill>
      <patternFill patternType="solid">
        <fgColor rgb="FFEDEFF0"/>
        <bgColor rgb="FFEAF0F1"/>
      </patternFill>
    </fill>
    <fill>
      <patternFill patternType="solid">
        <fgColor rgb="FFF6E7DC"/>
        <bgColor rgb="FFFBE3DC"/>
      </patternFill>
    </fill>
    <fill>
      <patternFill patternType="solid">
        <fgColor rgb="FFE9E9E7"/>
        <bgColor rgb="FFEDEFF0"/>
      </patternFill>
    </fill>
    <fill>
      <patternFill patternType="solid">
        <fgColor rgb="FFE7F1EC"/>
        <bgColor rgb="FFEAF0F1"/>
      </patternFill>
    </fill>
    <fill>
      <patternFill patternType="solid">
        <fgColor rgb="FFF3E8F2"/>
        <bgColor rgb="FFEDEFF0"/>
      </patternFill>
    </fill>
    <fill>
      <patternFill patternType="solid">
        <fgColor rgb="FFEAF0F1"/>
        <bgColor rgb="FFEDEFF0"/>
      </patternFill>
    </fill>
    <fill>
      <patternFill patternType="solid">
        <fgColor rgb="FFF2F2F0"/>
        <bgColor rgb="FFEDEFF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8D4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1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7">
    <dxf>
      <fill>
        <patternFill patternType="solid">
          <fgColor rgb="FF1F3F49"/>
          <bgColor rgb="FF000000"/>
        </patternFill>
      </fill>
    </dxf>
    <dxf>
      <fill>
        <patternFill patternType="solid">
          <fgColor rgb="FFE4ECF7"/>
          <bgColor rgb="FF000000"/>
        </patternFill>
      </fill>
    </dxf>
    <dxf>
      <fill>
        <patternFill patternType="solid">
          <fgColor rgb="FFE7F1EC"/>
          <bgColor rgb="FF000000"/>
        </patternFill>
      </fill>
    </dxf>
    <dxf>
      <fill>
        <patternFill patternType="solid">
          <fgColor rgb="FFE9E9E7"/>
          <bgColor rgb="FF000000"/>
        </patternFill>
      </fill>
    </dxf>
    <dxf>
      <fill>
        <patternFill patternType="solid">
          <fgColor rgb="FFEAF0F1"/>
          <bgColor rgb="FF000000"/>
        </patternFill>
      </fill>
    </dxf>
    <dxf>
      <fill>
        <patternFill patternType="solid">
          <fgColor rgb="FFEDEFF0"/>
          <bgColor rgb="FF000000"/>
        </patternFill>
      </fill>
    </dxf>
    <dxf>
      <fill>
        <patternFill patternType="solid">
          <fgColor rgb="FFF2F2F0"/>
          <bgColor rgb="FF000000"/>
        </patternFill>
      </fill>
    </dxf>
    <dxf>
      <fill>
        <patternFill patternType="solid">
          <fgColor rgb="FFF3E8F2"/>
          <bgColor rgb="FF000000"/>
        </patternFill>
      </fill>
    </dxf>
    <dxf>
      <fill>
        <patternFill patternType="solid">
          <fgColor rgb="FFF6E7DC"/>
          <bgColor rgb="FF000000"/>
        </patternFill>
      </fill>
    </dxf>
    <dxf>
      <fill>
        <patternFill patternType="solid">
          <fgColor rgb="FFFBF1D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8ECE0"/>
          <bgColor rgb="FF000000"/>
        </patternFill>
      </fill>
    </dxf>
    <dxf>
      <fill>
        <patternFill patternType="solid">
          <fgColor rgb="FFFBE3DC"/>
          <bgColor rgb="FF000000"/>
        </patternFill>
      </fill>
    </dxf>
    <dxf>
      <fill>
        <patternFill patternType="solid">
          <fgColor rgb="FFFCF0D8"/>
          <bgColor rgb="FF000000"/>
        </patternFill>
      </fill>
    </dxf>
    <dxf>
      <fill>
        <patternFill patternType="solid">
          <fgColor rgb="FF9C3A1E"/>
          <bgColor rgb="FF000000"/>
        </patternFill>
      </fill>
    </dxf>
    <dxf>
      <fill>
        <patternFill patternType="solid">
          <fgColor rgb="FF7A6A5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2F2F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9E9E7"/>
      <rgbColor rgb="FF7A6A55"/>
      <rgbColor rgb="FFEDEFF0"/>
      <rgbColor rgb="FF993366"/>
      <rgbColor rgb="FFFBF1DA"/>
      <rgbColor rgb="FFE7F1EC"/>
      <rgbColor rgb="FF660066"/>
      <rgbColor rgb="FFFF8080"/>
      <rgbColor rgb="FF0066CC"/>
      <rgbColor rgb="FFC8D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4ECF7"/>
      <rgbColor rgb="FFD8ECE0"/>
      <rgbColor rgb="FFFCF0D8"/>
      <rgbColor rgb="FFEAF0F1"/>
      <rgbColor rgb="FFF6E7DC"/>
      <rgbColor rgb="FFF3E8F2"/>
      <rgbColor rgb="FFFBE3DC"/>
      <rgbColor rgb="FF3366FF"/>
      <rgbColor rgb="FF33CCCC"/>
      <rgbColor rgb="FF99CC00"/>
      <rgbColor rgb="FFFFCC00"/>
      <rgbColor rgb="FFFF9900"/>
      <rgbColor rgb="FFFF6600"/>
      <rgbColor rgb="FF5A6E71"/>
      <rgbColor rgb="FF969696"/>
      <rgbColor rgb="FF1F3F49"/>
      <rgbColor rgb="FF339966"/>
      <rgbColor rgb="FF003300"/>
      <rgbColor rgb="FF333300"/>
      <rgbColor rgb="FF9C3A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44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34"/>
    <col collapsed="false" customWidth="true" hidden="false" outlineLevel="0" max="17" min="17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15" hidden="false" customHeight="false" outlineLevel="0" collapsed="false">
      <c r="A5" s="4" t="s">
        <v>19</v>
      </c>
      <c r="B5" s="5" t="s">
        <v>20</v>
      </c>
      <c r="C5" s="5" t="s">
        <v>21</v>
      </c>
      <c r="D5" s="5" t="s">
        <v>22</v>
      </c>
      <c r="E5" s="6" t="n">
        <v>22</v>
      </c>
      <c r="F5" s="7" t="n">
        <v>22</v>
      </c>
      <c r="G5" s="6" t="n">
        <v>150</v>
      </c>
      <c r="H5" s="5" t="s">
        <v>23</v>
      </c>
      <c r="I5" s="6" t="n">
        <v>3</v>
      </c>
      <c r="J5" s="6" t="n">
        <v>6</v>
      </c>
      <c r="K5" s="5" t="s">
        <v>24</v>
      </c>
      <c r="L5" s="5" t="s">
        <v>25</v>
      </c>
      <c r="M5" s="6" t="n">
        <v>128</v>
      </c>
      <c r="N5" s="6" t="n">
        <v>72</v>
      </c>
      <c r="O5" s="6" t="n">
        <v>185</v>
      </c>
      <c r="P5" s="5" t="s">
        <v>26</v>
      </c>
      <c r="Q5" s="5" t="s">
        <v>27</v>
      </c>
    </row>
    <row r="6" customFormat="false" ht="15" hidden="false" customHeight="false" outlineLevel="0" collapsed="false">
      <c r="A6" s="4" t="s">
        <v>19</v>
      </c>
      <c r="B6" s="5" t="s">
        <v>28</v>
      </c>
      <c r="C6" s="5" t="s">
        <v>29</v>
      </c>
      <c r="D6" s="5" t="s">
        <v>30</v>
      </c>
      <c r="E6" s="6" t="n">
        <v>20</v>
      </c>
      <c r="F6" s="8" t="n">
        <v>20</v>
      </c>
      <c r="G6" s="6" t="n">
        <v>160</v>
      </c>
      <c r="H6" s="5" t="s">
        <v>31</v>
      </c>
      <c r="I6" s="6" t="n">
        <v>10</v>
      </c>
      <c r="J6" s="6" t="n">
        <v>7</v>
      </c>
      <c r="K6" s="5" t="s">
        <v>32</v>
      </c>
      <c r="L6" s="5"/>
      <c r="M6" s="6" t="n">
        <v>128</v>
      </c>
      <c r="N6" s="6" t="n">
        <v>57</v>
      </c>
      <c r="O6" s="6" t="n">
        <v>80</v>
      </c>
      <c r="P6" s="5" t="s">
        <v>26</v>
      </c>
      <c r="Q6" s="5" t="s">
        <v>27</v>
      </c>
    </row>
    <row r="7" customFormat="false" ht="15" hidden="false" customHeight="false" outlineLevel="0" collapsed="false">
      <c r="A7" s="4" t="s">
        <v>19</v>
      </c>
      <c r="B7" s="5" t="s">
        <v>33</v>
      </c>
      <c r="C7" s="5" t="s">
        <v>34</v>
      </c>
      <c r="D7" s="5" t="s">
        <v>35</v>
      </c>
      <c r="E7" s="6" t="n">
        <v>28</v>
      </c>
      <c r="F7" s="7" t="n">
        <v>28</v>
      </c>
      <c r="G7" s="6" t="n">
        <v>167</v>
      </c>
      <c r="H7" s="5" t="s">
        <v>36</v>
      </c>
      <c r="I7" s="6" t="n">
        <v>4</v>
      </c>
      <c r="J7" s="6" t="n">
        <v>5</v>
      </c>
      <c r="K7" s="5" t="s">
        <v>37</v>
      </c>
      <c r="L7" s="5" t="s">
        <v>25</v>
      </c>
      <c r="M7" s="6" t="n">
        <v>64</v>
      </c>
      <c r="N7" s="6" t="n">
        <v>52</v>
      </c>
      <c r="O7" s="6" t="n">
        <v>108</v>
      </c>
      <c r="P7" s="5" t="s">
        <v>26</v>
      </c>
      <c r="Q7" s="5" t="s">
        <v>27</v>
      </c>
    </row>
    <row r="8" customFormat="false" ht="15" hidden="false" customHeight="false" outlineLevel="0" collapsed="false">
      <c r="A8" s="4" t="s">
        <v>19</v>
      </c>
      <c r="B8" s="5" t="s">
        <v>38</v>
      </c>
      <c r="C8" s="5" t="s">
        <v>39</v>
      </c>
      <c r="D8" s="5" t="s">
        <v>40</v>
      </c>
      <c r="E8" s="6" t="n">
        <v>31</v>
      </c>
      <c r="F8" s="8" t="n">
        <v>31</v>
      </c>
      <c r="G8" s="6" t="n">
        <v>158</v>
      </c>
      <c r="H8" s="5" t="s">
        <v>41</v>
      </c>
      <c r="I8" s="6" t="n">
        <v>8</v>
      </c>
      <c r="J8" s="6" t="n">
        <v>7</v>
      </c>
      <c r="K8" s="5" t="s">
        <v>42</v>
      </c>
      <c r="L8" s="5" t="s">
        <v>25</v>
      </c>
      <c r="M8" s="6" t="n">
        <v>64</v>
      </c>
      <c r="N8" s="6" t="n">
        <v>51</v>
      </c>
      <c r="O8" s="6" t="n">
        <v>223</v>
      </c>
      <c r="P8" s="5" t="s">
        <v>26</v>
      </c>
      <c r="Q8" s="5" t="s">
        <v>27</v>
      </c>
    </row>
    <row r="9" customFormat="false" ht="15" hidden="false" customHeight="false" outlineLevel="0" collapsed="false">
      <c r="A9" s="4" t="s">
        <v>19</v>
      </c>
      <c r="B9" s="5" t="s">
        <v>43</v>
      </c>
      <c r="C9" s="5" t="s">
        <v>44</v>
      </c>
      <c r="D9" s="5" t="s">
        <v>45</v>
      </c>
      <c r="E9" s="6" t="n">
        <v>7</v>
      </c>
      <c r="F9" s="8" t="n">
        <v>7</v>
      </c>
      <c r="G9" s="6" t="n">
        <v>46</v>
      </c>
      <c r="H9" s="5" t="s">
        <v>46</v>
      </c>
      <c r="I9" s="6" t="n">
        <v>50</v>
      </c>
      <c r="J9" s="6" t="n">
        <v>7</v>
      </c>
      <c r="K9" s="5" t="s">
        <v>47</v>
      </c>
      <c r="L9" s="5"/>
      <c r="M9" s="6" t="n">
        <v>64</v>
      </c>
      <c r="N9" s="6" t="n">
        <v>44</v>
      </c>
      <c r="O9" s="6" t="n">
        <v>160</v>
      </c>
      <c r="P9" s="5" t="s">
        <v>26</v>
      </c>
      <c r="Q9" s="5" t="s">
        <v>27</v>
      </c>
    </row>
    <row r="10" customFormat="false" ht="15" hidden="false" customHeight="false" outlineLevel="0" collapsed="false">
      <c r="A10" s="4" t="s">
        <v>19</v>
      </c>
      <c r="B10" s="5" t="s">
        <v>48</v>
      </c>
      <c r="C10" s="5" t="s">
        <v>49</v>
      </c>
      <c r="D10" s="5" t="s">
        <v>50</v>
      </c>
      <c r="E10" s="6" t="n">
        <v>18</v>
      </c>
      <c r="F10" s="8" t="n">
        <v>18</v>
      </c>
      <c r="G10" s="6" t="n">
        <v>119</v>
      </c>
      <c r="H10" s="5" t="s">
        <v>51</v>
      </c>
      <c r="I10" s="6" t="n">
        <v>51</v>
      </c>
      <c r="J10" s="6" t="n">
        <v>7</v>
      </c>
      <c r="K10" s="5" t="s">
        <v>52</v>
      </c>
      <c r="L10" s="5" t="s">
        <v>25</v>
      </c>
      <c r="M10" s="6" t="n">
        <v>64</v>
      </c>
      <c r="N10" s="6" t="n">
        <v>43</v>
      </c>
      <c r="O10" s="6" t="n">
        <v>119</v>
      </c>
      <c r="P10" s="5" t="s">
        <v>26</v>
      </c>
      <c r="Q10" s="5" t="s">
        <v>27</v>
      </c>
    </row>
    <row r="11" customFormat="false" ht="15" hidden="false" customHeight="false" outlineLevel="0" collapsed="false">
      <c r="A11" s="4" t="s">
        <v>19</v>
      </c>
      <c r="B11" s="5" t="s">
        <v>53</v>
      </c>
      <c r="C11" s="5" t="s">
        <v>54</v>
      </c>
      <c r="D11" s="5" t="s">
        <v>55</v>
      </c>
      <c r="E11" s="6" t="n">
        <v>12</v>
      </c>
      <c r="F11" s="8" t="n">
        <v>12</v>
      </c>
      <c r="G11" s="6" t="n">
        <v>108</v>
      </c>
      <c r="H11" s="5" t="s">
        <v>56</v>
      </c>
      <c r="I11" s="6" t="n">
        <v>62</v>
      </c>
      <c r="J11" s="6" t="n">
        <v>7</v>
      </c>
      <c r="K11" s="5" t="s">
        <v>57</v>
      </c>
      <c r="L11" s="5" t="s">
        <v>25</v>
      </c>
      <c r="M11" s="6" t="n">
        <v>64</v>
      </c>
      <c r="N11" s="6" t="n">
        <v>27</v>
      </c>
      <c r="O11" s="6" t="n">
        <v>69</v>
      </c>
      <c r="P11" s="5" t="s">
        <v>26</v>
      </c>
      <c r="Q11" s="5" t="s">
        <v>27</v>
      </c>
    </row>
    <row r="12" customFormat="false" ht="15" hidden="false" customHeight="false" outlineLevel="0" collapsed="false">
      <c r="A12" s="4" t="s">
        <v>19</v>
      </c>
      <c r="B12" s="5" t="s">
        <v>58</v>
      </c>
      <c r="C12" s="5" t="s">
        <v>59</v>
      </c>
      <c r="D12" s="5" t="s">
        <v>60</v>
      </c>
      <c r="E12" s="6" t="n">
        <v>3</v>
      </c>
      <c r="F12" s="7" t="n">
        <v>3</v>
      </c>
      <c r="G12" s="6" t="n">
        <v>23</v>
      </c>
      <c r="H12" s="5" t="s">
        <v>61</v>
      </c>
      <c r="I12" s="6" t="n">
        <v>5</v>
      </c>
      <c r="J12" s="6" t="n">
        <v>1</v>
      </c>
      <c r="K12" s="5" t="s">
        <v>62</v>
      </c>
      <c r="L12" s="5" t="s">
        <v>25</v>
      </c>
      <c r="M12" s="6" t="n">
        <v>128</v>
      </c>
      <c r="N12" s="6" t="n">
        <v>16</v>
      </c>
      <c r="O12" s="6" t="n">
        <v>29</v>
      </c>
      <c r="P12" s="5" t="s">
        <v>26</v>
      </c>
      <c r="Q12" s="5" t="s">
        <v>27</v>
      </c>
    </row>
    <row r="13" customFormat="false" ht="15" hidden="false" customHeight="false" outlineLevel="0" collapsed="false">
      <c r="A13" s="4" t="s">
        <v>19</v>
      </c>
      <c r="B13" s="5" t="s">
        <v>63</v>
      </c>
      <c r="C13" s="5" t="s">
        <v>64</v>
      </c>
      <c r="D13" s="5" t="s">
        <v>65</v>
      </c>
      <c r="E13" s="6" t="n">
        <v>2</v>
      </c>
      <c r="F13" s="7" t="n">
        <v>2</v>
      </c>
      <c r="G13" s="6" t="n">
        <v>24</v>
      </c>
      <c r="H13" s="5" t="s">
        <v>66</v>
      </c>
      <c r="I13" s="6" t="n">
        <v>1</v>
      </c>
      <c r="J13" s="6" t="n">
        <v>1</v>
      </c>
      <c r="K13" s="5" t="s">
        <v>67</v>
      </c>
      <c r="L13" s="5" t="s">
        <v>25</v>
      </c>
      <c r="M13" s="6" t="n">
        <v>128</v>
      </c>
      <c r="N13" s="6" t="n">
        <v>6</v>
      </c>
      <c r="O13" s="6" t="n">
        <v>32</v>
      </c>
      <c r="P13" s="5" t="s">
        <v>26</v>
      </c>
      <c r="Q13" s="5" t="s">
        <v>27</v>
      </c>
    </row>
    <row r="14" customFormat="false" ht="15" hidden="false" customHeight="false" outlineLevel="0" collapsed="false">
      <c r="A14" s="4" t="s">
        <v>19</v>
      </c>
      <c r="B14" s="5" t="s">
        <v>68</v>
      </c>
      <c r="C14" s="5"/>
      <c r="D14" s="5" t="s">
        <v>69</v>
      </c>
      <c r="E14" s="6" t="n">
        <v>7</v>
      </c>
      <c r="F14" s="7" t="n">
        <v>7</v>
      </c>
      <c r="G14" s="6" t="n">
        <v>1748</v>
      </c>
      <c r="H14" s="5"/>
      <c r="I14" s="5"/>
      <c r="J14" s="6" t="n">
        <v>0</v>
      </c>
      <c r="K14" s="5"/>
      <c r="L14" s="5" t="s">
        <v>25</v>
      </c>
      <c r="M14" s="6" t="n">
        <v>16</v>
      </c>
      <c r="N14" s="6" t="n">
        <v>0</v>
      </c>
      <c r="O14" s="6" t="n">
        <v>0</v>
      </c>
      <c r="P14" s="5" t="s">
        <v>26</v>
      </c>
      <c r="Q14" s="5" t="s">
        <v>70</v>
      </c>
    </row>
    <row r="15" customFormat="false" ht="15" hidden="false" customHeight="false" outlineLevel="0" collapsed="false">
      <c r="A15" s="4" t="s">
        <v>19</v>
      </c>
      <c r="B15" s="5" t="s">
        <v>71</v>
      </c>
      <c r="C15" s="5" t="s">
        <v>72</v>
      </c>
      <c r="D15" s="5"/>
      <c r="E15" s="6" t="n">
        <v>0</v>
      </c>
      <c r="F15" s="9" t="n">
        <v>0</v>
      </c>
      <c r="G15" s="5"/>
      <c r="H15" s="5"/>
      <c r="I15" s="5"/>
      <c r="J15" s="6" t="n">
        <v>0</v>
      </c>
      <c r="K15" s="5"/>
      <c r="L15" s="5" t="s">
        <v>25</v>
      </c>
      <c r="M15" s="6" t="n">
        <v>32</v>
      </c>
      <c r="N15" s="6" t="n">
        <v>1</v>
      </c>
      <c r="O15" s="6" t="n">
        <v>0</v>
      </c>
      <c r="P15" s="5" t="s">
        <v>26</v>
      </c>
      <c r="Q15" s="5" t="s">
        <v>70</v>
      </c>
    </row>
    <row r="16" customFormat="false" ht="15" hidden="false" customHeight="false" outlineLevel="0" collapsed="false">
      <c r="A16" s="4" t="s">
        <v>19</v>
      </c>
      <c r="B16" s="5" t="s">
        <v>73</v>
      </c>
      <c r="C16" s="5"/>
      <c r="D16" s="5"/>
      <c r="E16" s="6" t="n">
        <v>0</v>
      </c>
      <c r="F16" s="9" t="n">
        <v>0</v>
      </c>
      <c r="G16" s="5"/>
      <c r="H16" s="5"/>
      <c r="I16" s="5"/>
      <c r="J16" s="6" t="n">
        <v>0</v>
      </c>
      <c r="K16" s="5"/>
      <c r="L16" s="5"/>
      <c r="M16" s="5"/>
      <c r="N16" s="6" t="n">
        <v>0</v>
      </c>
      <c r="O16" s="6" t="n">
        <v>0</v>
      </c>
      <c r="P16" s="5" t="s">
        <v>26</v>
      </c>
      <c r="Q16" s="5" t="s">
        <v>70</v>
      </c>
    </row>
    <row r="17" customFormat="false" ht="15" hidden="false" customHeight="false" outlineLevel="0" collapsed="false">
      <c r="A17" s="4" t="s">
        <v>19</v>
      </c>
      <c r="B17" s="5" t="s">
        <v>74</v>
      </c>
      <c r="C17" s="5"/>
      <c r="D17" s="5"/>
      <c r="E17" s="6" t="n">
        <v>0</v>
      </c>
      <c r="F17" s="9" t="n">
        <v>0</v>
      </c>
      <c r="G17" s="5"/>
      <c r="H17" s="5"/>
      <c r="I17" s="5"/>
      <c r="J17" s="6" t="n">
        <v>0</v>
      </c>
      <c r="K17" s="5"/>
      <c r="L17" s="5"/>
      <c r="M17" s="5"/>
      <c r="N17" s="6" t="n">
        <v>0</v>
      </c>
      <c r="O17" s="6" t="n">
        <v>0</v>
      </c>
      <c r="P17" s="5" t="s">
        <v>26</v>
      </c>
      <c r="Q17" s="5" t="s">
        <v>70</v>
      </c>
    </row>
    <row r="18" customFormat="false" ht="15" hidden="false" customHeight="false" outlineLevel="0" collapsed="false">
      <c r="A18" s="4" t="s">
        <v>19</v>
      </c>
      <c r="B18" s="5" t="s">
        <v>75</v>
      </c>
      <c r="C18" s="5"/>
      <c r="D18" s="5"/>
      <c r="E18" s="6" t="n">
        <v>0</v>
      </c>
      <c r="F18" s="9" t="n">
        <v>0</v>
      </c>
      <c r="G18" s="5"/>
      <c r="H18" s="5"/>
      <c r="I18" s="5"/>
      <c r="J18" s="6" t="n">
        <v>0</v>
      </c>
      <c r="K18" s="5"/>
      <c r="L18" s="5"/>
      <c r="M18" s="5"/>
      <c r="N18" s="6" t="n">
        <v>0</v>
      </c>
      <c r="O18" s="6" t="n">
        <v>0</v>
      </c>
      <c r="P18" s="5" t="s">
        <v>26</v>
      </c>
      <c r="Q18" s="5" t="s">
        <v>70</v>
      </c>
    </row>
    <row r="19" customFormat="false" ht="15" hidden="false" customHeight="false" outlineLevel="0" collapsed="false">
      <c r="A19" s="4" t="s">
        <v>19</v>
      </c>
      <c r="B19" s="5" t="s">
        <v>76</v>
      </c>
      <c r="C19" s="5" t="s">
        <v>77</v>
      </c>
      <c r="D19" s="5"/>
      <c r="E19" s="6" t="n">
        <v>0</v>
      </c>
      <c r="F19" s="9" t="n">
        <v>0</v>
      </c>
      <c r="G19" s="5"/>
      <c r="H19" s="5"/>
      <c r="I19" s="5"/>
      <c r="J19" s="6" t="n">
        <v>0</v>
      </c>
      <c r="K19" s="5"/>
      <c r="L19" s="5"/>
      <c r="M19" s="6" t="n">
        <v>128</v>
      </c>
      <c r="N19" s="6" t="n">
        <v>2</v>
      </c>
      <c r="O19" s="6" t="n">
        <v>0</v>
      </c>
      <c r="P19" s="10" t="s">
        <v>78</v>
      </c>
      <c r="Q19" s="5" t="s">
        <v>70</v>
      </c>
    </row>
    <row r="20" customFormat="false" ht="15" hidden="false" customHeight="false" outlineLevel="0" collapsed="false">
      <c r="A20" s="11" t="s">
        <v>79</v>
      </c>
      <c r="B20" s="5" t="s">
        <v>80</v>
      </c>
      <c r="C20" s="5" t="s">
        <v>81</v>
      </c>
      <c r="D20" s="5" t="s">
        <v>82</v>
      </c>
      <c r="E20" s="6" t="n">
        <v>15</v>
      </c>
      <c r="F20" s="7" t="n">
        <v>15</v>
      </c>
      <c r="G20" s="6" t="n">
        <v>151</v>
      </c>
      <c r="H20" s="5" t="s">
        <v>23</v>
      </c>
      <c r="I20" s="6" t="n">
        <v>3</v>
      </c>
      <c r="J20" s="6" t="n">
        <v>6</v>
      </c>
      <c r="K20" s="5" t="s">
        <v>83</v>
      </c>
      <c r="L20" s="5" t="s">
        <v>84</v>
      </c>
      <c r="M20" s="6" t="n">
        <v>64</v>
      </c>
      <c r="N20" s="6" t="n">
        <v>24</v>
      </c>
      <c r="O20" s="6" t="n">
        <v>29</v>
      </c>
      <c r="P20" s="5" t="s">
        <v>26</v>
      </c>
      <c r="Q20" s="5" t="s">
        <v>27</v>
      </c>
    </row>
    <row r="21" customFormat="false" ht="15" hidden="false" customHeight="false" outlineLevel="0" collapsed="false">
      <c r="A21" s="11" t="s">
        <v>79</v>
      </c>
      <c r="B21" s="5" t="s">
        <v>85</v>
      </c>
      <c r="C21" s="5" t="s">
        <v>86</v>
      </c>
      <c r="D21" s="5" t="s">
        <v>87</v>
      </c>
      <c r="E21" s="6" t="n">
        <v>15</v>
      </c>
      <c r="F21" s="7" t="n">
        <v>15</v>
      </c>
      <c r="G21" s="6" t="n">
        <v>167</v>
      </c>
      <c r="H21" s="5" t="s">
        <v>23</v>
      </c>
      <c r="I21" s="6" t="n">
        <v>3</v>
      </c>
      <c r="J21" s="6" t="n">
        <v>3</v>
      </c>
      <c r="K21" s="5" t="s">
        <v>88</v>
      </c>
      <c r="L21" s="5" t="s">
        <v>84</v>
      </c>
      <c r="M21" s="6" t="n">
        <v>64</v>
      </c>
      <c r="N21" s="6" t="n">
        <v>23</v>
      </c>
      <c r="O21" s="6" t="n">
        <v>35</v>
      </c>
      <c r="P21" s="5" t="s">
        <v>26</v>
      </c>
      <c r="Q21" s="5" t="s">
        <v>27</v>
      </c>
    </row>
    <row r="22" customFormat="false" ht="15" hidden="false" customHeight="false" outlineLevel="0" collapsed="false">
      <c r="A22" s="11" t="s">
        <v>79</v>
      </c>
      <c r="B22" s="5" t="s">
        <v>89</v>
      </c>
      <c r="C22" s="5" t="s">
        <v>90</v>
      </c>
      <c r="D22" s="5" t="s">
        <v>91</v>
      </c>
      <c r="E22" s="6" t="n">
        <v>18</v>
      </c>
      <c r="F22" s="7" t="n">
        <v>18</v>
      </c>
      <c r="G22" s="6" t="n">
        <v>169</v>
      </c>
      <c r="H22" s="5" t="s">
        <v>66</v>
      </c>
      <c r="I22" s="6" t="n">
        <v>1</v>
      </c>
      <c r="J22" s="6" t="n">
        <v>1</v>
      </c>
      <c r="K22" s="5" t="s">
        <v>92</v>
      </c>
      <c r="L22" s="5" t="s">
        <v>84</v>
      </c>
      <c r="M22" s="6" t="n">
        <v>64</v>
      </c>
      <c r="N22" s="6" t="n">
        <v>23</v>
      </c>
      <c r="O22" s="6" t="n">
        <v>33</v>
      </c>
      <c r="P22" s="5" t="s">
        <v>26</v>
      </c>
      <c r="Q22" s="5" t="s">
        <v>27</v>
      </c>
    </row>
    <row r="23" customFormat="false" ht="15" hidden="false" customHeight="false" outlineLevel="0" collapsed="false">
      <c r="A23" s="11" t="s">
        <v>79</v>
      </c>
      <c r="B23" s="5" t="s">
        <v>93</v>
      </c>
      <c r="C23" s="5" t="s">
        <v>94</v>
      </c>
      <c r="D23" s="5" t="s">
        <v>95</v>
      </c>
      <c r="E23" s="6" t="n">
        <v>13</v>
      </c>
      <c r="F23" s="7" t="n">
        <v>13</v>
      </c>
      <c r="G23" s="6" t="n">
        <v>165</v>
      </c>
      <c r="H23" s="5" t="s">
        <v>66</v>
      </c>
      <c r="I23" s="6" t="n">
        <v>1</v>
      </c>
      <c r="J23" s="6" t="n">
        <v>5</v>
      </c>
      <c r="K23" s="5" t="s">
        <v>96</v>
      </c>
      <c r="L23" s="5" t="s">
        <v>97</v>
      </c>
      <c r="M23" s="6" t="n">
        <v>64</v>
      </c>
      <c r="N23" s="6" t="n">
        <v>20</v>
      </c>
      <c r="O23" s="6" t="n">
        <v>47</v>
      </c>
      <c r="P23" s="5" t="s">
        <v>26</v>
      </c>
      <c r="Q23" s="5" t="s">
        <v>27</v>
      </c>
    </row>
    <row r="24" customFormat="false" ht="15" hidden="false" customHeight="false" outlineLevel="0" collapsed="false">
      <c r="A24" s="11" t="s">
        <v>79</v>
      </c>
      <c r="B24" s="5" t="s">
        <v>98</v>
      </c>
      <c r="C24" s="5" t="s">
        <v>99</v>
      </c>
      <c r="D24" s="5" t="s">
        <v>100</v>
      </c>
      <c r="E24" s="6" t="n">
        <v>4</v>
      </c>
      <c r="F24" s="7" t="n">
        <v>4</v>
      </c>
      <c r="G24" s="6" t="n">
        <v>93</v>
      </c>
      <c r="H24" s="5" t="s">
        <v>23</v>
      </c>
      <c r="I24" s="6" t="n">
        <v>3</v>
      </c>
      <c r="J24" s="6" t="n">
        <v>6</v>
      </c>
      <c r="K24" s="5" t="s">
        <v>101</v>
      </c>
      <c r="L24" s="5" t="s">
        <v>84</v>
      </c>
      <c r="M24" s="6" t="n">
        <v>64</v>
      </c>
      <c r="N24" s="6" t="n">
        <v>11</v>
      </c>
      <c r="O24" s="6" t="n">
        <v>12</v>
      </c>
      <c r="P24" s="5" t="s">
        <v>26</v>
      </c>
      <c r="Q24" s="5" t="s">
        <v>27</v>
      </c>
    </row>
    <row r="25" customFormat="false" ht="15" hidden="false" customHeight="false" outlineLevel="0" collapsed="false">
      <c r="A25" s="11" t="s">
        <v>79</v>
      </c>
      <c r="B25" s="5" t="s">
        <v>102</v>
      </c>
      <c r="C25" s="5" t="s">
        <v>103</v>
      </c>
      <c r="D25" s="5" t="s">
        <v>104</v>
      </c>
      <c r="E25" s="6" t="n">
        <v>8</v>
      </c>
      <c r="F25" s="8" t="n">
        <v>8</v>
      </c>
      <c r="G25" s="6" t="n">
        <v>130</v>
      </c>
      <c r="H25" s="5" t="s">
        <v>105</v>
      </c>
      <c r="I25" s="6" t="n">
        <v>40</v>
      </c>
      <c r="J25" s="6" t="n">
        <v>7</v>
      </c>
      <c r="K25" s="5" t="s">
        <v>106</v>
      </c>
      <c r="L25" s="5" t="s">
        <v>84</v>
      </c>
      <c r="M25" s="6" t="n">
        <v>64</v>
      </c>
      <c r="N25" s="6" t="n">
        <v>10</v>
      </c>
      <c r="O25" s="6" t="n">
        <v>25</v>
      </c>
      <c r="P25" s="5" t="s">
        <v>26</v>
      </c>
      <c r="Q25" s="5" t="s">
        <v>27</v>
      </c>
    </row>
    <row r="26" customFormat="false" ht="15" hidden="false" customHeight="false" outlineLevel="0" collapsed="false">
      <c r="A26" s="11" t="s">
        <v>79</v>
      </c>
      <c r="B26" s="5" t="s">
        <v>107</v>
      </c>
      <c r="C26" s="5" t="s">
        <v>108</v>
      </c>
      <c r="D26" s="5" t="s">
        <v>109</v>
      </c>
      <c r="E26" s="6" t="n">
        <v>1</v>
      </c>
      <c r="F26" s="7" t="n">
        <v>1</v>
      </c>
      <c r="G26" s="6" t="n">
        <v>23</v>
      </c>
      <c r="H26" s="5" t="s">
        <v>61</v>
      </c>
      <c r="I26" s="6" t="n">
        <v>5</v>
      </c>
      <c r="J26" s="6" t="n">
        <v>1</v>
      </c>
      <c r="K26" s="5" t="s">
        <v>110</v>
      </c>
      <c r="L26" s="5" t="s">
        <v>111</v>
      </c>
      <c r="M26" s="6" t="n">
        <v>128</v>
      </c>
      <c r="N26" s="6" t="n">
        <v>6</v>
      </c>
      <c r="O26" s="6" t="n">
        <v>3</v>
      </c>
      <c r="P26" s="5" t="s">
        <v>26</v>
      </c>
      <c r="Q26" s="5" t="s">
        <v>27</v>
      </c>
    </row>
    <row r="27" customFormat="false" ht="15" hidden="false" customHeight="false" outlineLevel="0" collapsed="false">
      <c r="A27" s="11" t="s">
        <v>79</v>
      </c>
      <c r="B27" s="5" t="s">
        <v>112</v>
      </c>
      <c r="C27" s="5" t="s">
        <v>113</v>
      </c>
      <c r="D27" s="5" t="s">
        <v>114</v>
      </c>
      <c r="E27" s="6" t="n">
        <v>3</v>
      </c>
      <c r="F27" s="7" t="n">
        <v>3</v>
      </c>
      <c r="G27" s="6" t="n">
        <v>24</v>
      </c>
      <c r="H27" s="5" t="s">
        <v>66</v>
      </c>
      <c r="I27" s="6" t="n">
        <v>1</v>
      </c>
      <c r="J27" s="6" t="n">
        <v>0</v>
      </c>
      <c r="K27" s="5"/>
      <c r="L27" s="5" t="s">
        <v>115</v>
      </c>
      <c r="M27" s="6" t="n">
        <v>128</v>
      </c>
      <c r="N27" s="6" t="n">
        <v>3</v>
      </c>
      <c r="O27" s="6" t="n">
        <v>1</v>
      </c>
      <c r="P27" s="5" t="s">
        <v>26</v>
      </c>
      <c r="Q27" s="5" t="s">
        <v>27</v>
      </c>
    </row>
    <row r="28" customFormat="false" ht="15" hidden="false" customHeight="false" outlineLevel="0" collapsed="false">
      <c r="A28" s="11" t="s">
        <v>79</v>
      </c>
      <c r="B28" s="5" t="s">
        <v>116</v>
      </c>
      <c r="C28" s="5" t="s">
        <v>117</v>
      </c>
      <c r="D28" s="5" t="s">
        <v>118</v>
      </c>
      <c r="E28" s="6" t="n">
        <v>1</v>
      </c>
      <c r="F28" s="7" t="n">
        <v>1</v>
      </c>
      <c r="G28" s="6" t="n">
        <v>23</v>
      </c>
      <c r="H28" s="5" t="s">
        <v>36</v>
      </c>
      <c r="I28" s="6" t="n">
        <v>4</v>
      </c>
      <c r="J28" s="6" t="n">
        <v>1</v>
      </c>
      <c r="K28" s="5" t="s">
        <v>119</v>
      </c>
      <c r="L28" s="5" t="s">
        <v>84</v>
      </c>
      <c r="M28" s="6" t="n">
        <v>128</v>
      </c>
      <c r="N28" s="6" t="n">
        <v>2</v>
      </c>
      <c r="O28" s="6" t="n">
        <v>0</v>
      </c>
      <c r="P28" s="5" t="s">
        <v>26</v>
      </c>
      <c r="Q28" s="5" t="s">
        <v>27</v>
      </c>
    </row>
    <row r="29" customFormat="false" ht="15" hidden="false" customHeight="false" outlineLevel="0" collapsed="false">
      <c r="A29" s="11" t="s">
        <v>79</v>
      </c>
      <c r="B29" s="5" t="s">
        <v>120</v>
      </c>
      <c r="C29" s="5" t="s">
        <v>77</v>
      </c>
      <c r="D29" s="5"/>
      <c r="E29" s="6" t="n">
        <v>0</v>
      </c>
      <c r="F29" s="9" t="n">
        <v>0</v>
      </c>
      <c r="G29" s="5"/>
      <c r="H29" s="5"/>
      <c r="I29" s="5"/>
      <c r="J29" s="6" t="n">
        <v>2</v>
      </c>
      <c r="K29" s="5" t="s">
        <v>121</v>
      </c>
      <c r="L29" s="5" t="s">
        <v>84</v>
      </c>
      <c r="M29" s="6" t="n">
        <v>128</v>
      </c>
      <c r="N29" s="6" t="n">
        <v>4</v>
      </c>
      <c r="O29" s="6" t="n">
        <v>1</v>
      </c>
      <c r="P29" s="5" t="s">
        <v>26</v>
      </c>
      <c r="Q29" s="5" t="s">
        <v>70</v>
      </c>
    </row>
    <row r="30" customFormat="false" ht="15" hidden="false" customHeight="false" outlineLevel="0" collapsed="false">
      <c r="A30" s="11" t="s">
        <v>79</v>
      </c>
      <c r="B30" s="5" t="s">
        <v>122</v>
      </c>
      <c r="C30" s="5"/>
      <c r="D30" s="5"/>
      <c r="E30" s="6" t="n">
        <v>0</v>
      </c>
      <c r="F30" s="9" t="n">
        <v>0</v>
      </c>
      <c r="G30" s="5"/>
      <c r="H30" s="5"/>
      <c r="I30" s="5"/>
      <c r="J30" s="6" t="n">
        <v>0</v>
      </c>
      <c r="K30" s="5"/>
      <c r="L30" s="5" t="s">
        <v>84</v>
      </c>
      <c r="M30" s="6" t="n">
        <v>32</v>
      </c>
      <c r="N30" s="6" t="n">
        <v>0</v>
      </c>
      <c r="O30" s="6" t="n">
        <v>0</v>
      </c>
      <c r="P30" s="5" t="s">
        <v>26</v>
      </c>
      <c r="Q30" s="5" t="s">
        <v>70</v>
      </c>
    </row>
    <row r="31" customFormat="false" ht="15" hidden="false" customHeight="false" outlineLevel="0" collapsed="false">
      <c r="A31" s="11" t="s">
        <v>79</v>
      </c>
      <c r="B31" s="5" t="s">
        <v>123</v>
      </c>
      <c r="C31" s="5"/>
      <c r="D31" s="5"/>
      <c r="E31" s="6" t="n">
        <v>0</v>
      </c>
      <c r="F31" s="9" t="n">
        <v>0</v>
      </c>
      <c r="G31" s="5"/>
      <c r="H31" s="5"/>
      <c r="I31" s="5"/>
      <c r="J31" s="6" t="n">
        <v>0</v>
      </c>
      <c r="K31" s="5"/>
      <c r="L31" s="5" t="s">
        <v>84</v>
      </c>
      <c r="M31" s="6" t="n">
        <v>128</v>
      </c>
      <c r="N31" s="6" t="n">
        <v>0</v>
      </c>
      <c r="O31" s="6" t="n">
        <v>0</v>
      </c>
      <c r="P31" s="5" t="s">
        <v>26</v>
      </c>
      <c r="Q31" s="5" t="s">
        <v>70</v>
      </c>
    </row>
    <row r="32" customFormat="false" ht="15" hidden="false" customHeight="false" outlineLevel="0" collapsed="false">
      <c r="A32" s="11" t="s">
        <v>79</v>
      </c>
      <c r="B32" s="5" t="s">
        <v>124</v>
      </c>
      <c r="C32" s="5"/>
      <c r="D32" s="5"/>
      <c r="E32" s="6" t="n">
        <v>0</v>
      </c>
      <c r="F32" s="9" t="n">
        <v>0</v>
      </c>
      <c r="G32" s="5"/>
      <c r="H32" s="5"/>
      <c r="I32" s="5"/>
      <c r="J32" s="6" t="n">
        <v>0</v>
      </c>
      <c r="K32" s="5"/>
      <c r="L32" s="5" t="s">
        <v>84</v>
      </c>
      <c r="M32" s="6" t="n">
        <v>4</v>
      </c>
      <c r="N32" s="6" t="n">
        <v>0</v>
      </c>
      <c r="O32" s="6" t="n">
        <v>0</v>
      </c>
      <c r="P32" s="5" t="s">
        <v>26</v>
      </c>
      <c r="Q32" s="5" t="s">
        <v>70</v>
      </c>
    </row>
    <row r="33" customFormat="false" ht="15" hidden="false" customHeight="false" outlineLevel="0" collapsed="false">
      <c r="A33" s="11" t="s">
        <v>79</v>
      </c>
      <c r="B33" s="5" t="s">
        <v>125</v>
      </c>
      <c r="C33" s="5"/>
      <c r="D33" s="5"/>
      <c r="E33" s="6" t="n">
        <v>0</v>
      </c>
      <c r="F33" s="9" t="n">
        <v>0</v>
      </c>
      <c r="G33" s="5"/>
      <c r="H33" s="5"/>
      <c r="I33" s="5"/>
      <c r="J33" s="6" t="n">
        <v>0</v>
      </c>
      <c r="K33" s="5"/>
      <c r="L33" s="5" t="s">
        <v>84</v>
      </c>
      <c r="M33" s="6" t="n">
        <v>2</v>
      </c>
      <c r="N33" s="6" t="n">
        <v>0</v>
      </c>
      <c r="O33" s="6" t="n">
        <v>0</v>
      </c>
      <c r="P33" s="5" t="s">
        <v>26</v>
      </c>
      <c r="Q33" s="5" t="s">
        <v>70</v>
      </c>
    </row>
    <row r="34" customFormat="false" ht="15" hidden="false" customHeight="false" outlineLevel="0" collapsed="false">
      <c r="A34" s="11" t="s">
        <v>79</v>
      </c>
      <c r="B34" s="5" t="s">
        <v>126</v>
      </c>
      <c r="C34" s="5"/>
      <c r="D34" s="5"/>
      <c r="E34" s="6" t="n">
        <v>0</v>
      </c>
      <c r="F34" s="9" t="n">
        <v>0</v>
      </c>
      <c r="G34" s="5"/>
      <c r="H34" s="5"/>
      <c r="I34" s="5"/>
      <c r="J34" s="6" t="n">
        <v>0</v>
      </c>
      <c r="K34" s="5"/>
      <c r="L34" s="5" t="s">
        <v>84</v>
      </c>
      <c r="M34" s="6" t="n">
        <v>16</v>
      </c>
      <c r="N34" s="6" t="n">
        <v>0</v>
      </c>
      <c r="O34" s="6" t="n">
        <v>0</v>
      </c>
      <c r="P34" s="5" t="s">
        <v>26</v>
      </c>
      <c r="Q34" s="5" t="s">
        <v>70</v>
      </c>
    </row>
    <row r="35" customFormat="false" ht="15" hidden="false" customHeight="false" outlineLevel="0" collapsed="false">
      <c r="A35" s="11" t="s">
        <v>79</v>
      </c>
      <c r="B35" s="5" t="s">
        <v>127</v>
      </c>
      <c r="C35" s="5"/>
      <c r="D35" s="5"/>
      <c r="E35" s="6" t="n">
        <v>0</v>
      </c>
      <c r="F35" s="9" t="n">
        <v>0</v>
      </c>
      <c r="G35" s="5"/>
      <c r="H35" s="5"/>
      <c r="I35" s="5"/>
      <c r="J35" s="6" t="n">
        <v>0</v>
      </c>
      <c r="K35" s="5"/>
      <c r="L35" s="5"/>
      <c r="M35" s="5"/>
      <c r="N35" s="6" t="n">
        <v>0</v>
      </c>
      <c r="O35" s="6" t="n">
        <v>0</v>
      </c>
      <c r="P35" s="5" t="s">
        <v>26</v>
      </c>
      <c r="Q35" s="5" t="s">
        <v>70</v>
      </c>
    </row>
    <row r="36" customFormat="false" ht="15" hidden="false" customHeight="false" outlineLevel="0" collapsed="false">
      <c r="A36" s="11" t="s">
        <v>79</v>
      </c>
      <c r="B36" s="5" t="s">
        <v>128</v>
      </c>
      <c r="C36" s="5"/>
      <c r="D36" s="5"/>
      <c r="E36" s="6" t="n">
        <v>0</v>
      </c>
      <c r="F36" s="9" t="n">
        <v>0</v>
      </c>
      <c r="G36" s="5"/>
      <c r="H36" s="5"/>
      <c r="I36" s="5"/>
      <c r="J36" s="6" t="n">
        <v>0</v>
      </c>
      <c r="K36" s="5"/>
      <c r="L36" s="5"/>
      <c r="M36" s="5"/>
      <c r="N36" s="6" t="n">
        <v>0</v>
      </c>
      <c r="O36" s="6" t="n">
        <v>0</v>
      </c>
      <c r="P36" s="5" t="s">
        <v>26</v>
      </c>
      <c r="Q36" s="5" t="s">
        <v>70</v>
      </c>
    </row>
    <row r="37" customFormat="false" ht="15" hidden="false" customHeight="false" outlineLevel="0" collapsed="false">
      <c r="A37" s="11" t="s">
        <v>79</v>
      </c>
      <c r="B37" s="5" t="s">
        <v>129</v>
      </c>
      <c r="C37" s="5"/>
      <c r="D37" s="5" t="s">
        <v>95</v>
      </c>
      <c r="E37" s="6" t="n">
        <v>0</v>
      </c>
      <c r="F37" s="9" t="n">
        <v>0</v>
      </c>
      <c r="G37" s="5"/>
      <c r="H37" s="5"/>
      <c r="I37" s="5"/>
      <c r="J37" s="6" t="n">
        <v>0</v>
      </c>
      <c r="K37" s="5"/>
      <c r="L37" s="5" t="s">
        <v>97</v>
      </c>
      <c r="M37" s="6" t="n">
        <v>64</v>
      </c>
      <c r="N37" s="6" t="n">
        <v>0</v>
      </c>
      <c r="O37" s="6" t="n">
        <v>0</v>
      </c>
      <c r="P37" s="10" t="s">
        <v>130</v>
      </c>
      <c r="Q37" s="5" t="s">
        <v>70</v>
      </c>
    </row>
    <row r="38" customFormat="false" ht="15" hidden="false" customHeight="false" outlineLevel="0" collapsed="false">
      <c r="A38" s="12" t="s">
        <v>131</v>
      </c>
      <c r="B38" s="5" t="s">
        <v>132</v>
      </c>
      <c r="C38" s="5" t="s">
        <v>133</v>
      </c>
      <c r="D38" s="5" t="s">
        <v>134</v>
      </c>
      <c r="E38" s="6" t="n">
        <v>15</v>
      </c>
      <c r="F38" s="7" t="n">
        <v>15</v>
      </c>
      <c r="G38" s="6" t="n">
        <v>168</v>
      </c>
      <c r="H38" s="5" t="s">
        <v>135</v>
      </c>
      <c r="I38" s="6" t="n">
        <v>2</v>
      </c>
      <c r="J38" s="6" t="n">
        <v>3</v>
      </c>
      <c r="K38" s="5" t="s">
        <v>136</v>
      </c>
      <c r="L38" s="5" t="s">
        <v>137</v>
      </c>
      <c r="M38" s="6" t="n">
        <v>64</v>
      </c>
      <c r="N38" s="6" t="n">
        <v>27</v>
      </c>
      <c r="O38" s="6" t="n">
        <v>98</v>
      </c>
      <c r="P38" s="5" t="s">
        <v>26</v>
      </c>
      <c r="Q38" s="5" t="s">
        <v>27</v>
      </c>
    </row>
    <row r="39" customFormat="false" ht="15" hidden="false" customHeight="false" outlineLevel="0" collapsed="false">
      <c r="A39" s="12" t="s">
        <v>131</v>
      </c>
      <c r="B39" s="5" t="s">
        <v>138</v>
      </c>
      <c r="C39" s="5" t="s">
        <v>139</v>
      </c>
      <c r="D39" s="5" t="s">
        <v>140</v>
      </c>
      <c r="E39" s="6" t="n">
        <v>3</v>
      </c>
      <c r="F39" s="7" t="n">
        <v>3</v>
      </c>
      <c r="G39" s="6" t="n">
        <v>95</v>
      </c>
      <c r="H39" s="5" t="s">
        <v>135</v>
      </c>
      <c r="I39" s="6" t="n">
        <v>2</v>
      </c>
      <c r="J39" s="6" t="n">
        <v>6</v>
      </c>
      <c r="K39" s="5" t="s">
        <v>141</v>
      </c>
      <c r="L39" s="5"/>
      <c r="M39" s="6" t="n">
        <v>64</v>
      </c>
      <c r="N39" s="6" t="n">
        <v>12</v>
      </c>
      <c r="O39" s="6" t="n">
        <v>34</v>
      </c>
      <c r="P39" s="5" t="s">
        <v>26</v>
      </c>
      <c r="Q39" s="5" t="s">
        <v>27</v>
      </c>
    </row>
    <row r="40" customFormat="false" ht="15" hidden="false" customHeight="false" outlineLevel="0" collapsed="false">
      <c r="A40" s="12" t="s">
        <v>131</v>
      </c>
      <c r="B40" s="5" t="s">
        <v>142</v>
      </c>
      <c r="C40" s="5" t="s">
        <v>143</v>
      </c>
      <c r="D40" s="5" t="s">
        <v>144</v>
      </c>
      <c r="E40" s="6" t="n">
        <v>8</v>
      </c>
      <c r="F40" s="7" t="n">
        <v>8</v>
      </c>
      <c r="G40" s="6" t="n">
        <v>165</v>
      </c>
      <c r="H40" s="5" t="s">
        <v>135</v>
      </c>
      <c r="I40" s="6" t="n">
        <v>2</v>
      </c>
      <c r="J40" s="6" t="n">
        <v>5</v>
      </c>
      <c r="K40" s="5" t="s">
        <v>145</v>
      </c>
      <c r="L40" s="5" t="s">
        <v>137</v>
      </c>
      <c r="M40" s="6" t="n">
        <v>64</v>
      </c>
      <c r="N40" s="6" t="n">
        <v>12</v>
      </c>
      <c r="O40" s="6" t="n">
        <v>14</v>
      </c>
      <c r="P40" s="5" t="s">
        <v>26</v>
      </c>
      <c r="Q40" s="5" t="s">
        <v>27</v>
      </c>
    </row>
    <row r="41" customFormat="false" ht="15" hidden="false" customHeight="false" outlineLevel="0" collapsed="false">
      <c r="A41" s="12" t="s">
        <v>131</v>
      </c>
      <c r="B41" s="5" t="s">
        <v>146</v>
      </c>
      <c r="C41" s="5" t="s">
        <v>147</v>
      </c>
      <c r="D41" s="5" t="s">
        <v>148</v>
      </c>
      <c r="E41" s="6" t="n">
        <v>8</v>
      </c>
      <c r="F41" s="7" t="n">
        <v>8</v>
      </c>
      <c r="G41" s="6" t="n">
        <v>151</v>
      </c>
      <c r="H41" s="5" t="s">
        <v>135</v>
      </c>
      <c r="I41" s="6" t="n">
        <v>2</v>
      </c>
      <c r="J41" s="6" t="n">
        <v>5</v>
      </c>
      <c r="K41" s="5" t="s">
        <v>149</v>
      </c>
      <c r="L41" s="5" t="s">
        <v>137</v>
      </c>
      <c r="M41" s="6" t="n">
        <v>64</v>
      </c>
      <c r="N41" s="6" t="n">
        <v>11</v>
      </c>
      <c r="O41" s="6" t="n">
        <v>16</v>
      </c>
      <c r="P41" s="5" t="s">
        <v>26</v>
      </c>
      <c r="Q41" s="5" t="s">
        <v>27</v>
      </c>
    </row>
    <row r="42" customFormat="false" ht="15" hidden="false" customHeight="false" outlineLevel="0" collapsed="false">
      <c r="A42" s="12" t="s">
        <v>131</v>
      </c>
      <c r="B42" s="5" t="s">
        <v>150</v>
      </c>
      <c r="C42" s="5" t="s">
        <v>151</v>
      </c>
      <c r="D42" s="5" t="s">
        <v>152</v>
      </c>
      <c r="E42" s="6" t="n">
        <v>5</v>
      </c>
      <c r="F42" s="7" t="n">
        <v>5</v>
      </c>
      <c r="G42" s="6" t="n">
        <v>169</v>
      </c>
      <c r="H42" s="5" t="s">
        <v>66</v>
      </c>
      <c r="I42" s="6" t="n">
        <v>1</v>
      </c>
      <c r="J42" s="6" t="n">
        <v>4</v>
      </c>
      <c r="K42" s="5" t="s">
        <v>153</v>
      </c>
      <c r="L42" s="5" t="s">
        <v>137</v>
      </c>
      <c r="M42" s="6" t="n">
        <v>64</v>
      </c>
      <c r="N42" s="6" t="n">
        <v>8</v>
      </c>
      <c r="O42" s="6" t="n">
        <v>4</v>
      </c>
      <c r="P42" s="5" t="s">
        <v>26</v>
      </c>
      <c r="Q42" s="5" t="s">
        <v>27</v>
      </c>
    </row>
    <row r="43" customFormat="false" ht="15" hidden="false" customHeight="false" outlineLevel="0" collapsed="false">
      <c r="A43" s="12" t="s">
        <v>131</v>
      </c>
      <c r="B43" s="5" t="s">
        <v>154</v>
      </c>
      <c r="C43" s="5" t="s">
        <v>155</v>
      </c>
      <c r="D43" s="5" t="s">
        <v>156</v>
      </c>
      <c r="E43" s="6" t="n">
        <v>1</v>
      </c>
      <c r="F43" s="8" t="n">
        <v>1</v>
      </c>
      <c r="G43" s="6" t="n">
        <v>139</v>
      </c>
      <c r="H43" s="5" t="s">
        <v>157</v>
      </c>
      <c r="I43" s="6" t="n">
        <v>31</v>
      </c>
      <c r="J43" s="6" t="n">
        <v>7</v>
      </c>
      <c r="K43" s="5" t="s">
        <v>158</v>
      </c>
      <c r="L43" s="5" t="s">
        <v>137</v>
      </c>
      <c r="M43" s="6" t="n">
        <v>64</v>
      </c>
      <c r="N43" s="6" t="n">
        <v>3</v>
      </c>
      <c r="O43" s="6" t="n">
        <v>1</v>
      </c>
      <c r="P43" s="5" t="s">
        <v>26</v>
      </c>
      <c r="Q43" s="5" t="s">
        <v>27</v>
      </c>
    </row>
    <row r="44" customFormat="false" ht="15" hidden="false" customHeight="false" outlineLevel="0" collapsed="false">
      <c r="A44" s="12" t="s">
        <v>131</v>
      </c>
      <c r="B44" s="5" t="s">
        <v>159</v>
      </c>
      <c r="C44" s="5" t="s">
        <v>160</v>
      </c>
      <c r="D44" s="5" t="s">
        <v>161</v>
      </c>
      <c r="E44" s="6" t="n">
        <v>1</v>
      </c>
      <c r="F44" s="7" t="n">
        <v>1</v>
      </c>
      <c r="G44" s="6" t="n">
        <v>23</v>
      </c>
      <c r="H44" s="5" t="s">
        <v>36</v>
      </c>
      <c r="I44" s="6" t="n">
        <v>4</v>
      </c>
      <c r="J44" s="6" t="n">
        <v>1</v>
      </c>
      <c r="K44" s="5" t="s">
        <v>162</v>
      </c>
      <c r="L44" s="5" t="s">
        <v>137</v>
      </c>
      <c r="M44" s="6" t="n">
        <v>256</v>
      </c>
      <c r="N44" s="6" t="n">
        <v>3</v>
      </c>
      <c r="O44" s="6" t="n">
        <v>2</v>
      </c>
      <c r="P44" s="5" t="s">
        <v>26</v>
      </c>
      <c r="Q44" s="5" t="s">
        <v>27</v>
      </c>
    </row>
    <row r="45" customFormat="false" ht="15" hidden="false" customHeight="false" outlineLevel="0" collapsed="false">
      <c r="A45" s="12" t="s">
        <v>131</v>
      </c>
      <c r="B45" s="5" t="s">
        <v>163</v>
      </c>
      <c r="C45" s="5" t="s">
        <v>164</v>
      </c>
      <c r="D45" s="5"/>
      <c r="E45" s="6" t="n">
        <v>0</v>
      </c>
      <c r="F45" s="9" t="n">
        <v>0</v>
      </c>
      <c r="G45" s="5"/>
      <c r="H45" s="5"/>
      <c r="I45" s="5"/>
      <c r="J45" s="6" t="n">
        <v>1</v>
      </c>
      <c r="K45" s="5" t="s">
        <v>165</v>
      </c>
      <c r="L45" s="5" t="s">
        <v>166</v>
      </c>
      <c r="M45" s="6" t="n">
        <v>128</v>
      </c>
      <c r="N45" s="6" t="n">
        <v>3</v>
      </c>
      <c r="O45" s="6" t="n">
        <v>3</v>
      </c>
      <c r="P45" s="5" t="s">
        <v>26</v>
      </c>
      <c r="Q45" s="5" t="s">
        <v>70</v>
      </c>
    </row>
    <row r="46" customFormat="false" ht="15" hidden="false" customHeight="false" outlineLevel="0" collapsed="false">
      <c r="A46" s="12" t="s">
        <v>131</v>
      </c>
      <c r="B46" s="5" t="s">
        <v>167</v>
      </c>
      <c r="C46" s="5"/>
      <c r="D46" s="5"/>
      <c r="E46" s="6" t="n">
        <v>0</v>
      </c>
      <c r="F46" s="9" t="n">
        <v>0</v>
      </c>
      <c r="G46" s="5"/>
      <c r="H46" s="5"/>
      <c r="I46" s="5"/>
      <c r="J46" s="6" t="n">
        <v>0</v>
      </c>
      <c r="K46" s="5"/>
      <c r="L46" s="5" t="s">
        <v>137</v>
      </c>
      <c r="M46" s="6" t="n">
        <v>64</v>
      </c>
      <c r="N46" s="6" t="n">
        <v>0</v>
      </c>
      <c r="O46" s="6" t="n">
        <v>0</v>
      </c>
      <c r="P46" s="5" t="s">
        <v>26</v>
      </c>
      <c r="Q46" s="5" t="s">
        <v>70</v>
      </c>
    </row>
    <row r="47" customFormat="false" ht="15" hidden="false" customHeight="false" outlineLevel="0" collapsed="false">
      <c r="A47" s="12" t="s">
        <v>131</v>
      </c>
      <c r="B47" s="5" t="s">
        <v>168</v>
      </c>
      <c r="C47" s="5"/>
      <c r="D47" s="5"/>
      <c r="E47" s="6" t="n">
        <v>0</v>
      </c>
      <c r="F47" s="9" t="n">
        <v>0</v>
      </c>
      <c r="G47" s="5"/>
      <c r="H47" s="5"/>
      <c r="I47" s="5"/>
      <c r="J47" s="6" t="n">
        <v>0</v>
      </c>
      <c r="K47" s="5"/>
      <c r="L47" s="5" t="s">
        <v>137</v>
      </c>
      <c r="M47" s="6" t="n">
        <v>32</v>
      </c>
      <c r="N47" s="6" t="n">
        <v>0</v>
      </c>
      <c r="O47" s="6" t="n">
        <v>0</v>
      </c>
      <c r="P47" s="5" t="s">
        <v>26</v>
      </c>
      <c r="Q47" s="5" t="s">
        <v>70</v>
      </c>
    </row>
    <row r="48" customFormat="false" ht="15" hidden="false" customHeight="false" outlineLevel="0" collapsed="false">
      <c r="A48" s="12" t="s">
        <v>131</v>
      </c>
      <c r="B48" s="5" t="s">
        <v>169</v>
      </c>
      <c r="C48" s="5"/>
      <c r="D48" s="5"/>
      <c r="E48" s="6" t="n">
        <v>0</v>
      </c>
      <c r="F48" s="9" t="n">
        <v>0</v>
      </c>
      <c r="G48" s="5"/>
      <c r="H48" s="5"/>
      <c r="I48" s="5"/>
      <c r="J48" s="6" t="n">
        <v>0</v>
      </c>
      <c r="K48" s="5"/>
      <c r="L48" s="5"/>
      <c r="M48" s="5"/>
      <c r="N48" s="6" t="n">
        <v>0</v>
      </c>
      <c r="O48" s="6" t="n">
        <v>0</v>
      </c>
      <c r="P48" s="5" t="s">
        <v>26</v>
      </c>
      <c r="Q48" s="5" t="s">
        <v>70</v>
      </c>
    </row>
    <row r="49" customFormat="false" ht="15" hidden="false" customHeight="false" outlineLevel="0" collapsed="false">
      <c r="A49" s="12" t="s">
        <v>131</v>
      </c>
      <c r="B49" s="5" t="s">
        <v>170</v>
      </c>
      <c r="C49" s="5"/>
      <c r="D49" s="5"/>
      <c r="E49" s="6" t="n">
        <v>0</v>
      </c>
      <c r="F49" s="9" t="n">
        <v>0</v>
      </c>
      <c r="G49" s="5"/>
      <c r="H49" s="5"/>
      <c r="I49" s="5"/>
      <c r="J49" s="6" t="n">
        <v>0</v>
      </c>
      <c r="K49" s="5"/>
      <c r="L49" s="5"/>
      <c r="M49" s="5"/>
      <c r="N49" s="6" t="n">
        <v>0</v>
      </c>
      <c r="O49" s="6" t="n">
        <v>0</v>
      </c>
      <c r="P49" s="5" t="s">
        <v>26</v>
      </c>
      <c r="Q49" s="5" t="s">
        <v>70</v>
      </c>
    </row>
    <row r="50" customFormat="false" ht="15" hidden="false" customHeight="false" outlineLevel="0" collapsed="false">
      <c r="A50" s="12" t="s">
        <v>131</v>
      </c>
      <c r="B50" s="5" t="s">
        <v>171</v>
      </c>
      <c r="C50" s="5"/>
      <c r="D50" s="5"/>
      <c r="E50" s="6" t="n">
        <v>0</v>
      </c>
      <c r="F50" s="9" t="n">
        <v>0</v>
      </c>
      <c r="G50" s="5"/>
      <c r="H50" s="5"/>
      <c r="I50" s="5"/>
      <c r="J50" s="6" t="n">
        <v>0</v>
      </c>
      <c r="K50" s="5"/>
      <c r="L50" s="5" t="s">
        <v>137</v>
      </c>
      <c r="M50" s="6" t="n">
        <v>16</v>
      </c>
      <c r="N50" s="6" t="n">
        <v>0</v>
      </c>
      <c r="O50" s="6" t="n">
        <v>0</v>
      </c>
      <c r="P50" s="5" t="s">
        <v>26</v>
      </c>
      <c r="Q50" s="5" t="s">
        <v>70</v>
      </c>
    </row>
    <row r="51" customFormat="false" ht="15" hidden="false" customHeight="false" outlineLevel="0" collapsed="false">
      <c r="A51" s="13" t="s">
        <v>172</v>
      </c>
      <c r="B51" s="5" t="s">
        <v>173</v>
      </c>
      <c r="C51" s="5" t="s">
        <v>174</v>
      </c>
      <c r="D51" s="5" t="s">
        <v>175</v>
      </c>
      <c r="E51" s="6" t="n">
        <v>3</v>
      </c>
      <c r="F51" s="7" t="n">
        <v>3</v>
      </c>
      <c r="G51" s="6" t="n">
        <v>162</v>
      </c>
      <c r="H51" s="5"/>
      <c r="I51" s="5"/>
      <c r="J51" s="6" t="n">
        <v>0</v>
      </c>
      <c r="K51" s="5"/>
      <c r="L51" s="5" t="s">
        <v>176</v>
      </c>
      <c r="M51" s="6" t="n">
        <v>64</v>
      </c>
      <c r="N51" s="6" t="n">
        <v>1</v>
      </c>
      <c r="O51" s="6" t="n">
        <v>0</v>
      </c>
      <c r="P51" s="5" t="s">
        <v>26</v>
      </c>
      <c r="Q51" s="5" t="s">
        <v>70</v>
      </c>
    </row>
    <row r="52" customFormat="false" ht="15" hidden="false" customHeight="false" outlineLevel="0" collapsed="false">
      <c r="A52" s="13" t="s">
        <v>172</v>
      </c>
      <c r="B52" s="5" t="s">
        <v>177</v>
      </c>
      <c r="C52" s="5" t="s">
        <v>178</v>
      </c>
      <c r="D52" s="5" t="s">
        <v>179</v>
      </c>
      <c r="E52" s="6" t="n">
        <v>1</v>
      </c>
      <c r="F52" s="7" t="n">
        <v>1</v>
      </c>
      <c r="G52" s="6" t="n">
        <v>89</v>
      </c>
      <c r="H52" s="5"/>
      <c r="I52" s="5"/>
      <c r="J52" s="6" t="n">
        <v>0</v>
      </c>
      <c r="K52" s="5"/>
      <c r="L52" s="5" t="s">
        <v>176</v>
      </c>
      <c r="M52" s="6" t="n">
        <v>64</v>
      </c>
      <c r="N52" s="6" t="n">
        <v>1</v>
      </c>
      <c r="O52" s="6" t="n">
        <v>0</v>
      </c>
      <c r="P52" s="5" t="s">
        <v>26</v>
      </c>
      <c r="Q52" s="5" t="s">
        <v>70</v>
      </c>
    </row>
    <row r="53" customFormat="false" ht="15" hidden="false" customHeight="false" outlineLevel="0" collapsed="false">
      <c r="A53" s="13" t="s">
        <v>172</v>
      </c>
      <c r="B53" s="5" t="s">
        <v>180</v>
      </c>
      <c r="C53" s="5" t="s">
        <v>181</v>
      </c>
      <c r="D53" s="5" t="s">
        <v>182</v>
      </c>
      <c r="E53" s="6" t="n">
        <v>1</v>
      </c>
      <c r="F53" s="7" t="n">
        <v>1</v>
      </c>
      <c r="G53" s="6" t="n">
        <v>23</v>
      </c>
      <c r="H53" s="5"/>
      <c r="I53" s="5"/>
      <c r="J53" s="6" t="n">
        <v>0</v>
      </c>
      <c r="K53" s="5"/>
      <c r="L53" s="5" t="s">
        <v>176</v>
      </c>
      <c r="M53" s="6" t="n">
        <v>256</v>
      </c>
      <c r="N53" s="6" t="n">
        <v>1</v>
      </c>
      <c r="O53" s="6" t="n">
        <v>0</v>
      </c>
      <c r="P53" s="5" t="s">
        <v>26</v>
      </c>
      <c r="Q53" s="5" t="s">
        <v>70</v>
      </c>
    </row>
    <row r="54" customFormat="false" ht="15" hidden="false" customHeight="false" outlineLevel="0" collapsed="false">
      <c r="A54" s="13" t="s">
        <v>172</v>
      </c>
      <c r="B54" s="5" t="s">
        <v>183</v>
      </c>
      <c r="C54" s="5"/>
      <c r="D54" s="5" t="s">
        <v>184</v>
      </c>
      <c r="E54" s="6" t="n">
        <v>3</v>
      </c>
      <c r="F54" s="7" t="n">
        <v>3</v>
      </c>
      <c r="G54" s="6" t="n">
        <v>161</v>
      </c>
      <c r="H54" s="5"/>
      <c r="I54" s="5"/>
      <c r="J54" s="6" t="n">
        <v>0</v>
      </c>
      <c r="K54" s="5"/>
      <c r="L54" s="5" t="s">
        <v>176</v>
      </c>
      <c r="M54" s="6" t="n">
        <v>128</v>
      </c>
      <c r="N54" s="6" t="n">
        <v>0</v>
      </c>
      <c r="O54" s="6" t="n">
        <v>0</v>
      </c>
      <c r="P54" s="5" t="s">
        <v>26</v>
      </c>
      <c r="Q54" s="5" t="s">
        <v>70</v>
      </c>
    </row>
    <row r="55" customFormat="false" ht="15" hidden="false" customHeight="false" outlineLevel="0" collapsed="false">
      <c r="A55" s="13" t="s">
        <v>172</v>
      </c>
      <c r="B55" s="5" t="s">
        <v>185</v>
      </c>
      <c r="C55" s="5"/>
      <c r="D55" s="5" t="s">
        <v>186</v>
      </c>
      <c r="E55" s="6" t="n">
        <v>2</v>
      </c>
      <c r="F55" s="7" t="n">
        <v>2</v>
      </c>
      <c r="G55" s="6" t="n">
        <v>167</v>
      </c>
      <c r="H55" s="5"/>
      <c r="I55" s="5"/>
      <c r="J55" s="6" t="n">
        <v>0</v>
      </c>
      <c r="K55" s="5"/>
      <c r="L55" s="5"/>
      <c r="M55" s="5"/>
      <c r="N55" s="6" t="n">
        <v>0</v>
      </c>
      <c r="O55" s="6" t="n">
        <v>0</v>
      </c>
      <c r="P55" s="5" t="s">
        <v>26</v>
      </c>
      <c r="Q55" s="5" t="s">
        <v>70</v>
      </c>
    </row>
    <row r="56" customFormat="false" ht="15" hidden="false" customHeight="false" outlineLevel="0" collapsed="false">
      <c r="A56" s="13" t="s">
        <v>172</v>
      </c>
      <c r="B56" s="5" t="s">
        <v>187</v>
      </c>
      <c r="C56" s="5" t="s">
        <v>188</v>
      </c>
      <c r="D56" s="5"/>
      <c r="E56" s="6" t="n">
        <v>0</v>
      </c>
      <c r="F56" s="9" t="n">
        <v>0</v>
      </c>
      <c r="G56" s="5"/>
      <c r="H56" s="5"/>
      <c r="I56" s="5"/>
      <c r="J56" s="6" t="n">
        <v>7</v>
      </c>
      <c r="K56" s="5" t="s">
        <v>189</v>
      </c>
      <c r="L56" s="5"/>
      <c r="M56" s="6" t="n">
        <v>64</v>
      </c>
      <c r="N56" s="6" t="n">
        <v>6</v>
      </c>
      <c r="O56" s="6" t="n">
        <v>57</v>
      </c>
      <c r="P56" s="5" t="s">
        <v>26</v>
      </c>
      <c r="Q56" s="5" t="s">
        <v>70</v>
      </c>
    </row>
    <row r="57" customFormat="false" ht="15" hidden="false" customHeight="false" outlineLevel="0" collapsed="false">
      <c r="A57" s="13" t="s">
        <v>172</v>
      </c>
      <c r="B57" s="5" t="s">
        <v>190</v>
      </c>
      <c r="C57" s="5" t="s">
        <v>191</v>
      </c>
      <c r="D57" s="5"/>
      <c r="E57" s="6" t="n">
        <v>0</v>
      </c>
      <c r="F57" s="9" t="n">
        <v>0</v>
      </c>
      <c r="G57" s="5"/>
      <c r="H57" s="5"/>
      <c r="I57" s="5"/>
      <c r="J57" s="6" t="n">
        <v>7</v>
      </c>
      <c r="K57" s="5" t="s">
        <v>192</v>
      </c>
      <c r="L57" s="5"/>
      <c r="M57" s="6" t="n">
        <v>128</v>
      </c>
      <c r="N57" s="6" t="n">
        <v>5</v>
      </c>
      <c r="O57" s="6" t="n">
        <v>6</v>
      </c>
      <c r="P57" s="5" t="s">
        <v>26</v>
      </c>
      <c r="Q57" s="5" t="s">
        <v>70</v>
      </c>
    </row>
    <row r="58" customFormat="false" ht="15" hidden="false" customHeight="false" outlineLevel="0" collapsed="false">
      <c r="A58" s="13" t="s">
        <v>172</v>
      </c>
      <c r="B58" s="5" t="s">
        <v>193</v>
      </c>
      <c r="C58" s="5"/>
      <c r="D58" s="5"/>
      <c r="E58" s="6" t="n">
        <v>0</v>
      </c>
      <c r="F58" s="9" t="n">
        <v>0</v>
      </c>
      <c r="G58" s="5"/>
      <c r="H58" s="5"/>
      <c r="I58" s="5"/>
      <c r="J58" s="6" t="n">
        <v>0</v>
      </c>
      <c r="K58" s="5"/>
      <c r="L58" s="5" t="s">
        <v>176</v>
      </c>
      <c r="M58" s="6" t="n">
        <v>16</v>
      </c>
      <c r="N58" s="6" t="n">
        <v>0</v>
      </c>
      <c r="O58" s="6" t="n">
        <v>0</v>
      </c>
      <c r="P58" s="5" t="s">
        <v>26</v>
      </c>
      <c r="Q58" s="5" t="s">
        <v>70</v>
      </c>
    </row>
    <row r="59" customFormat="false" ht="15" hidden="false" customHeight="false" outlineLevel="0" collapsed="false">
      <c r="A59" s="13" t="s">
        <v>172</v>
      </c>
      <c r="B59" s="5" t="s">
        <v>194</v>
      </c>
      <c r="C59" s="5"/>
      <c r="D59" s="5"/>
      <c r="E59" s="6" t="n">
        <v>0</v>
      </c>
      <c r="F59" s="9" t="n">
        <v>0</v>
      </c>
      <c r="G59" s="5"/>
      <c r="H59" s="5"/>
      <c r="I59" s="5"/>
      <c r="J59" s="6" t="n">
        <v>0</v>
      </c>
      <c r="K59" s="5"/>
      <c r="L59" s="5"/>
      <c r="M59" s="6" t="n">
        <v>64</v>
      </c>
      <c r="N59" s="6" t="n">
        <v>0</v>
      </c>
      <c r="O59" s="6" t="n">
        <v>0</v>
      </c>
      <c r="P59" s="5" t="s">
        <v>26</v>
      </c>
      <c r="Q59" s="5" t="s">
        <v>70</v>
      </c>
    </row>
    <row r="60" customFormat="false" ht="15" hidden="false" customHeight="false" outlineLevel="0" collapsed="false">
      <c r="A60" s="13" t="s">
        <v>172</v>
      </c>
      <c r="B60" s="5" t="s">
        <v>195</v>
      </c>
      <c r="C60" s="5"/>
      <c r="D60" s="5"/>
      <c r="E60" s="6" t="n">
        <v>0</v>
      </c>
      <c r="F60" s="9" t="n">
        <v>0</v>
      </c>
      <c r="G60" s="5"/>
      <c r="H60" s="5"/>
      <c r="I60" s="5"/>
      <c r="J60" s="6" t="n">
        <v>0</v>
      </c>
      <c r="K60" s="5"/>
      <c r="L60" s="5"/>
      <c r="M60" s="6" t="n">
        <v>128</v>
      </c>
      <c r="N60" s="6" t="n">
        <v>0</v>
      </c>
      <c r="O60" s="6" t="n">
        <v>0</v>
      </c>
      <c r="P60" s="5" t="s">
        <v>26</v>
      </c>
      <c r="Q60" s="5" t="s">
        <v>70</v>
      </c>
    </row>
    <row r="61" customFormat="false" ht="15" hidden="false" customHeight="false" outlineLevel="0" collapsed="false">
      <c r="A61" s="13" t="s">
        <v>172</v>
      </c>
      <c r="B61" s="5" t="s">
        <v>196</v>
      </c>
      <c r="C61" s="5"/>
      <c r="D61" s="5"/>
      <c r="E61" s="6" t="n">
        <v>0</v>
      </c>
      <c r="F61" s="9" t="n">
        <v>0</v>
      </c>
      <c r="G61" s="5"/>
      <c r="H61" s="5"/>
      <c r="I61" s="5"/>
      <c r="J61" s="6" t="n">
        <v>0</v>
      </c>
      <c r="K61" s="5"/>
      <c r="L61" s="5" t="s">
        <v>176</v>
      </c>
      <c r="M61" s="6" t="n">
        <v>64</v>
      </c>
      <c r="N61" s="6" t="n">
        <v>0</v>
      </c>
      <c r="O61" s="6" t="n">
        <v>0</v>
      </c>
      <c r="P61" s="5" t="s">
        <v>26</v>
      </c>
      <c r="Q61" s="5" t="s">
        <v>70</v>
      </c>
    </row>
    <row r="62" customFormat="false" ht="15" hidden="false" customHeight="false" outlineLevel="0" collapsed="false">
      <c r="A62" s="13" t="s">
        <v>172</v>
      </c>
      <c r="B62" s="5" t="s">
        <v>197</v>
      </c>
      <c r="C62" s="5"/>
      <c r="D62" s="5"/>
      <c r="E62" s="6" t="n">
        <v>0</v>
      </c>
      <c r="F62" s="9" t="n">
        <v>0</v>
      </c>
      <c r="G62" s="5"/>
      <c r="H62" s="5"/>
      <c r="I62" s="5"/>
      <c r="J62" s="6" t="n">
        <v>0</v>
      </c>
      <c r="K62" s="5"/>
      <c r="L62" s="5" t="s">
        <v>176</v>
      </c>
      <c r="M62" s="6" t="n">
        <v>64</v>
      </c>
      <c r="N62" s="6" t="n">
        <v>0</v>
      </c>
      <c r="O62" s="6" t="n">
        <v>0</v>
      </c>
      <c r="P62" s="5" t="s">
        <v>26</v>
      </c>
      <c r="Q62" s="5" t="s">
        <v>70</v>
      </c>
    </row>
    <row r="63" customFormat="false" ht="15" hidden="false" customHeight="false" outlineLevel="0" collapsed="false">
      <c r="A63" s="13" t="s">
        <v>172</v>
      </c>
      <c r="B63" s="5" t="s">
        <v>198</v>
      </c>
      <c r="C63" s="5"/>
      <c r="D63" s="5"/>
      <c r="E63" s="6" t="n">
        <v>0</v>
      </c>
      <c r="F63" s="9" t="n">
        <v>0</v>
      </c>
      <c r="G63" s="5"/>
      <c r="H63" s="5"/>
      <c r="I63" s="5"/>
      <c r="J63" s="6" t="n">
        <v>0</v>
      </c>
      <c r="K63" s="5"/>
      <c r="L63" s="5" t="s">
        <v>199</v>
      </c>
      <c r="M63" s="6" t="n">
        <v>64</v>
      </c>
      <c r="N63" s="6" t="n">
        <v>0</v>
      </c>
      <c r="O63" s="6" t="n">
        <v>0</v>
      </c>
      <c r="P63" s="5" t="s">
        <v>26</v>
      </c>
      <c r="Q63" s="5" t="s">
        <v>70</v>
      </c>
    </row>
    <row r="64" customFormat="false" ht="15" hidden="false" customHeight="false" outlineLevel="0" collapsed="false">
      <c r="A64" s="13" t="s">
        <v>172</v>
      </c>
      <c r="B64" s="5" t="s">
        <v>200</v>
      </c>
      <c r="C64" s="5"/>
      <c r="D64" s="5"/>
      <c r="E64" s="6" t="n">
        <v>0</v>
      </c>
      <c r="F64" s="9" t="n">
        <v>0</v>
      </c>
      <c r="G64" s="5"/>
      <c r="H64" s="5"/>
      <c r="I64" s="5"/>
      <c r="J64" s="6" t="n">
        <v>0</v>
      </c>
      <c r="K64" s="5"/>
      <c r="L64" s="5"/>
      <c r="M64" s="5"/>
      <c r="N64" s="6" t="n">
        <v>0</v>
      </c>
      <c r="O64" s="6" t="n">
        <v>0</v>
      </c>
      <c r="P64" s="5" t="s">
        <v>26</v>
      </c>
      <c r="Q64" s="5" t="s">
        <v>70</v>
      </c>
    </row>
    <row r="65" customFormat="false" ht="15" hidden="false" customHeight="false" outlineLevel="0" collapsed="false">
      <c r="A65" s="13" t="s">
        <v>172</v>
      </c>
      <c r="B65" s="5" t="s">
        <v>201</v>
      </c>
      <c r="C65" s="5"/>
      <c r="D65" s="5"/>
      <c r="E65" s="6" t="n">
        <v>0</v>
      </c>
      <c r="F65" s="9" t="n">
        <v>0</v>
      </c>
      <c r="G65" s="5"/>
      <c r="H65" s="5"/>
      <c r="I65" s="5"/>
      <c r="J65" s="6" t="n">
        <v>0</v>
      </c>
      <c r="K65" s="5"/>
      <c r="L65" s="5" t="s">
        <v>176</v>
      </c>
      <c r="M65" s="6" t="n">
        <v>2</v>
      </c>
      <c r="N65" s="6" t="n">
        <v>0</v>
      </c>
      <c r="O65" s="6" t="n">
        <v>0</v>
      </c>
      <c r="P65" s="5" t="s">
        <v>26</v>
      </c>
      <c r="Q65" s="5" t="s">
        <v>70</v>
      </c>
    </row>
    <row r="66" customFormat="false" ht="15" hidden="false" customHeight="false" outlineLevel="0" collapsed="false">
      <c r="A66" s="13" t="s">
        <v>172</v>
      </c>
      <c r="B66" s="5" t="s">
        <v>202</v>
      </c>
      <c r="C66" s="5"/>
      <c r="D66" s="5"/>
      <c r="E66" s="6" t="n">
        <v>0</v>
      </c>
      <c r="F66" s="9" t="n">
        <v>0</v>
      </c>
      <c r="G66" s="5"/>
      <c r="H66" s="5"/>
      <c r="I66" s="5"/>
      <c r="J66" s="6" t="n">
        <v>0</v>
      </c>
      <c r="K66" s="5"/>
      <c r="L66" s="5" t="s">
        <v>176</v>
      </c>
      <c r="M66" s="6" t="n">
        <v>128</v>
      </c>
      <c r="N66" s="6" t="n">
        <v>0</v>
      </c>
      <c r="O66" s="6" t="n">
        <v>0</v>
      </c>
      <c r="P66" s="5" t="s">
        <v>26</v>
      </c>
      <c r="Q66" s="5" t="s">
        <v>70</v>
      </c>
    </row>
    <row r="67" customFormat="false" ht="15" hidden="false" customHeight="false" outlineLevel="0" collapsed="false">
      <c r="A67" s="13" t="s">
        <v>172</v>
      </c>
      <c r="B67" s="5" t="s">
        <v>203</v>
      </c>
      <c r="C67" s="5"/>
      <c r="D67" s="5" t="s">
        <v>204</v>
      </c>
      <c r="E67" s="6" t="n">
        <v>1</v>
      </c>
      <c r="F67" s="7" t="n">
        <v>1</v>
      </c>
      <c r="G67" s="6" t="n">
        <v>156</v>
      </c>
      <c r="H67" s="5"/>
      <c r="I67" s="5"/>
      <c r="J67" s="6" t="n">
        <v>0</v>
      </c>
      <c r="K67" s="5"/>
      <c r="L67" s="5"/>
      <c r="M67" s="5"/>
      <c r="N67" s="6" t="n">
        <v>0</v>
      </c>
      <c r="O67" s="6" t="n">
        <v>0</v>
      </c>
      <c r="P67" s="10" t="s">
        <v>205</v>
      </c>
      <c r="Q67" s="5" t="s">
        <v>70</v>
      </c>
    </row>
    <row r="68" customFormat="false" ht="15" hidden="false" customHeight="false" outlineLevel="0" collapsed="false">
      <c r="A68" s="13" t="s">
        <v>172</v>
      </c>
      <c r="B68" s="5" t="s">
        <v>206</v>
      </c>
      <c r="C68" s="5" t="s">
        <v>174</v>
      </c>
      <c r="D68" s="5"/>
      <c r="E68" s="6" t="n">
        <v>0</v>
      </c>
      <c r="F68" s="9" t="n">
        <v>0</v>
      </c>
      <c r="G68" s="5"/>
      <c r="H68" s="5"/>
      <c r="I68" s="5"/>
      <c r="J68" s="6" t="n">
        <v>0</v>
      </c>
      <c r="K68" s="5"/>
      <c r="L68" s="5"/>
      <c r="M68" s="6" t="n">
        <v>128</v>
      </c>
      <c r="N68" s="6" t="n">
        <v>10</v>
      </c>
      <c r="O68" s="6" t="n">
        <v>48</v>
      </c>
      <c r="P68" s="10" t="s">
        <v>207</v>
      </c>
      <c r="Q68" s="5" t="s">
        <v>70</v>
      </c>
    </row>
    <row r="69" customFormat="false" ht="15" hidden="false" customHeight="false" outlineLevel="0" collapsed="false">
      <c r="A69" s="14" t="s">
        <v>208</v>
      </c>
      <c r="B69" s="5" t="s">
        <v>209</v>
      </c>
      <c r="C69" s="5"/>
      <c r="D69" s="5"/>
      <c r="E69" s="6" t="n">
        <v>0</v>
      </c>
      <c r="F69" s="9" t="n">
        <v>0</v>
      </c>
      <c r="G69" s="5"/>
      <c r="H69" s="5"/>
      <c r="I69" s="5"/>
      <c r="J69" s="6" t="n">
        <v>0</v>
      </c>
      <c r="K69" s="5"/>
      <c r="L69" s="5" t="s">
        <v>210</v>
      </c>
      <c r="M69" s="6" t="n">
        <v>64</v>
      </c>
      <c r="N69" s="6" t="n">
        <v>0</v>
      </c>
      <c r="O69" s="6" t="n">
        <v>0</v>
      </c>
      <c r="P69" s="5" t="s">
        <v>26</v>
      </c>
      <c r="Q69" s="5" t="s">
        <v>70</v>
      </c>
    </row>
    <row r="70" customFormat="false" ht="15" hidden="false" customHeight="false" outlineLevel="0" collapsed="false">
      <c r="A70" s="14" t="s">
        <v>208</v>
      </c>
      <c r="B70" s="5" t="s">
        <v>211</v>
      </c>
      <c r="C70" s="5"/>
      <c r="D70" s="5"/>
      <c r="E70" s="6" t="n">
        <v>0</v>
      </c>
      <c r="F70" s="9" t="n">
        <v>0</v>
      </c>
      <c r="G70" s="5"/>
      <c r="H70" s="5"/>
      <c r="I70" s="5"/>
      <c r="J70" s="6" t="n">
        <v>0</v>
      </c>
      <c r="K70" s="5"/>
      <c r="L70" s="5"/>
      <c r="M70" s="5"/>
      <c r="N70" s="6" t="n">
        <v>0</v>
      </c>
      <c r="O70" s="6" t="n">
        <v>0</v>
      </c>
      <c r="P70" s="5" t="s">
        <v>26</v>
      </c>
      <c r="Q70" s="5" t="s">
        <v>70</v>
      </c>
    </row>
    <row r="71" customFormat="false" ht="15" hidden="false" customHeight="false" outlineLevel="0" collapsed="false">
      <c r="A71" s="14" t="s">
        <v>208</v>
      </c>
      <c r="B71" s="5" t="s">
        <v>212</v>
      </c>
      <c r="C71" s="5"/>
      <c r="D71" s="5"/>
      <c r="E71" s="6" t="n">
        <v>0</v>
      </c>
      <c r="F71" s="9" t="n">
        <v>0</v>
      </c>
      <c r="G71" s="5"/>
      <c r="H71" s="5"/>
      <c r="I71" s="5"/>
      <c r="J71" s="6" t="n">
        <v>0</v>
      </c>
      <c r="K71" s="5"/>
      <c r="L71" s="5" t="s">
        <v>213</v>
      </c>
      <c r="M71" s="6" t="n">
        <v>32</v>
      </c>
      <c r="N71" s="6" t="n">
        <v>0</v>
      </c>
      <c r="O71" s="6" t="n">
        <v>0</v>
      </c>
      <c r="P71" s="5" t="s">
        <v>26</v>
      </c>
      <c r="Q71" s="5" t="s">
        <v>70</v>
      </c>
    </row>
    <row r="72" customFormat="false" ht="15" hidden="false" customHeight="false" outlineLevel="0" collapsed="false">
      <c r="A72" s="14" t="s">
        <v>208</v>
      </c>
      <c r="B72" s="5" t="s">
        <v>214</v>
      </c>
      <c r="C72" s="5"/>
      <c r="D72" s="5"/>
      <c r="E72" s="6" t="n">
        <v>0</v>
      </c>
      <c r="F72" s="9" t="n">
        <v>0</v>
      </c>
      <c r="G72" s="5"/>
      <c r="H72" s="5"/>
      <c r="I72" s="5"/>
      <c r="J72" s="6" t="n">
        <v>0</v>
      </c>
      <c r="K72" s="5"/>
      <c r="L72" s="5"/>
      <c r="M72" s="5"/>
      <c r="N72" s="6" t="n">
        <v>0</v>
      </c>
      <c r="O72" s="6" t="n">
        <v>0</v>
      </c>
      <c r="P72" s="5" t="s">
        <v>26</v>
      </c>
      <c r="Q72" s="5" t="s">
        <v>70</v>
      </c>
    </row>
    <row r="73" customFormat="false" ht="15" hidden="false" customHeight="false" outlineLevel="0" collapsed="false">
      <c r="A73" s="14" t="s">
        <v>208</v>
      </c>
      <c r="B73" s="5" t="s">
        <v>215</v>
      </c>
      <c r="C73" s="5"/>
      <c r="D73" s="5"/>
      <c r="E73" s="6" t="n">
        <v>0</v>
      </c>
      <c r="F73" s="9" t="n">
        <v>0</v>
      </c>
      <c r="G73" s="5"/>
      <c r="H73" s="5"/>
      <c r="I73" s="5"/>
      <c r="J73" s="6" t="n">
        <v>0</v>
      </c>
      <c r="K73" s="5"/>
      <c r="L73" s="5"/>
      <c r="M73" s="5"/>
      <c r="N73" s="6" t="n">
        <v>0</v>
      </c>
      <c r="O73" s="6" t="n">
        <v>0</v>
      </c>
      <c r="P73" s="5" t="s">
        <v>26</v>
      </c>
      <c r="Q73" s="5" t="s">
        <v>70</v>
      </c>
    </row>
    <row r="74" customFormat="false" ht="15" hidden="false" customHeight="false" outlineLevel="0" collapsed="false">
      <c r="A74" s="14" t="s">
        <v>208</v>
      </c>
      <c r="B74" s="5" t="s">
        <v>216</v>
      </c>
      <c r="C74" s="5"/>
      <c r="D74" s="5"/>
      <c r="E74" s="6" t="n">
        <v>0</v>
      </c>
      <c r="F74" s="9" t="n">
        <v>0</v>
      </c>
      <c r="G74" s="5"/>
      <c r="H74" s="5"/>
      <c r="I74" s="5"/>
      <c r="J74" s="6" t="n">
        <v>0</v>
      </c>
      <c r="K74" s="5"/>
      <c r="L74" s="5" t="s">
        <v>213</v>
      </c>
      <c r="M74" s="6" t="n">
        <v>64</v>
      </c>
      <c r="N74" s="6" t="n">
        <v>0</v>
      </c>
      <c r="O74" s="6" t="n">
        <v>0</v>
      </c>
      <c r="P74" s="5" t="s">
        <v>26</v>
      </c>
      <c r="Q74" s="5" t="s">
        <v>70</v>
      </c>
    </row>
    <row r="75" customFormat="false" ht="15" hidden="false" customHeight="false" outlineLevel="0" collapsed="false">
      <c r="A75" s="14" t="s">
        <v>208</v>
      </c>
      <c r="B75" s="5" t="s">
        <v>217</v>
      </c>
      <c r="C75" s="5"/>
      <c r="D75" s="5"/>
      <c r="E75" s="6" t="n">
        <v>0</v>
      </c>
      <c r="F75" s="9" t="n">
        <v>0</v>
      </c>
      <c r="G75" s="5"/>
      <c r="H75" s="5"/>
      <c r="I75" s="5"/>
      <c r="J75" s="6" t="n">
        <v>0</v>
      </c>
      <c r="K75" s="5"/>
      <c r="L75" s="5" t="s">
        <v>213</v>
      </c>
      <c r="M75" s="6" t="n">
        <v>64</v>
      </c>
      <c r="N75" s="6" t="n">
        <v>0</v>
      </c>
      <c r="O75" s="6" t="n">
        <v>0</v>
      </c>
      <c r="P75" s="5" t="s">
        <v>26</v>
      </c>
      <c r="Q75" s="5" t="s">
        <v>70</v>
      </c>
    </row>
    <row r="76" customFormat="false" ht="15" hidden="false" customHeight="false" outlineLevel="0" collapsed="false">
      <c r="A76" s="14" t="s">
        <v>208</v>
      </c>
      <c r="B76" s="5" t="s">
        <v>218</v>
      </c>
      <c r="C76" s="5"/>
      <c r="D76" s="5"/>
      <c r="E76" s="6" t="n">
        <v>0</v>
      </c>
      <c r="F76" s="9" t="n">
        <v>0</v>
      </c>
      <c r="G76" s="5"/>
      <c r="H76" s="5"/>
      <c r="I76" s="5"/>
      <c r="J76" s="6" t="n">
        <v>0</v>
      </c>
      <c r="K76" s="5"/>
      <c r="L76" s="5"/>
      <c r="M76" s="5"/>
      <c r="N76" s="6" t="n">
        <v>0</v>
      </c>
      <c r="O76" s="6" t="n">
        <v>0</v>
      </c>
      <c r="P76" s="5" t="s">
        <v>26</v>
      </c>
      <c r="Q76" s="5" t="s">
        <v>70</v>
      </c>
    </row>
    <row r="77" customFormat="false" ht="15" hidden="false" customHeight="false" outlineLevel="0" collapsed="false">
      <c r="A77" s="14" t="s">
        <v>208</v>
      </c>
      <c r="B77" s="5" t="s">
        <v>219</v>
      </c>
      <c r="C77" s="5"/>
      <c r="D77" s="5"/>
      <c r="E77" s="6" t="n">
        <v>0</v>
      </c>
      <c r="F77" s="9" t="n">
        <v>0</v>
      </c>
      <c r="G77" s="5"/>
      <c r="H77" s="5"/>
      <c r="I77" s="5"/>
      <c r="J77" s="6" t="n">
        <v>0</v>
      </c>
      <c r="K77" s="5"/>
      <c r="L77" s="5"/>
      <c r="M77" s="5"/>
      <c r="N77" s="6" t="n">
        <v>0</v>
      </c>
      <c r="O77" s="6" t="n">
        <v>0</v>
      </c>
      <c r="P77" s="5" t="s">
        <v>26</v>
      </c>
      <c r="Q77" s="5" t="s">
        <v>70</v>
      </c>
    </row>
    <row r="78" customFormat="false" ht="15" hidden="false" customHeight="false" outlineLevel="0" collapsed="false">
      <c r="A78" s="14" t="s">
        <v>208</v>
      </c>
      <c r="B78" s="5" t="s">
        <v>220</v>
      </c>
      <c r="C78" s="5"/>
      <c r="D78" s="5"/>
      <c r="E78" s="6" t="n">
        <v>0</v>
      </c>
      <c r="F78" s="9" t="n">
        <v>0</v>
      </c>
      <c r="G78" s="5"/>
      <c r="H78" s="5"/>
      <c r="I78" s="5"/>
      <c r="J78" s="6" t="n">
        <v>0</v>
      </c>
      <c r="K78" s="5"/>
      <c r="L78" s="5"/>
      <c r="M78" s="5"/>
      <c r="N78" s="6" t="n">
        <v>0</v>
      </c>
      <c r="O78" s="6" t="n">
        <v>0</v>
      </c>
      <c r="P78" s="5" t="s">
        <v>26</v>
      </c>
      <c r="Q78" s="5" t="s">
        <v>70</v>
      </c>
    </row>
    <row r="79" customFormat="false" ht="15" hidden="false" customHeight="false" outlineLevel="0" collapsed="false">
      <c r="A79" s="14" t="s">
        <v>208</v>
      </c>
      <c r="B79" s="5" t="s">
        <v>221</v>
      </c>
      <c r="C79" s="5"/>
      <c r="D79" s="5"/>
      <c r="E79" s="6" t="n">
        <v>0</v>
      </c>
      <c r="F79" s="9" t="n">
        <v>0</v>
      </c>
      <c r="G79" s="5"/>
      <c r="H79" s="5"/>
      <c r="I79" s="5"/>
      <c r="J79" s="6" t="n">
        <v>0</v>
      </c>
      <c r="K79" s="5"/>
      <c r="L79" s="5" t="s">
        <v>210</v>
      </c>
      <c r="M79" s="6" t="n">
        <v>256</v>
      </c>
      <c r="N79" s="6" t="n">
        <v>0</v>
      </c>
      <c r="O79" s="6" t="n">
        <v>0</v>
      </c>
      <c r="P79" s="5" t="s">
        <v>26</v>
      </c>
      <c r="Q79" s="5" t="s">
        <v>70</v>
      </c>
    </row>
    <row r="80" customFormat="false" ht="15" hidden="false" customHeight="false" outlineLevel="0" collapsed="false">
      <c r="A80" s="14" t="s">
        <v>208</v>
      </c>
      <c r="B80" s="5" t="s">
        <v>222</v>
      </c>
      <c r="C80" s="5"/>
      <c r="D80" s="5"/>
      <c r="E80" s="6" t="n">
        <v>0</v>
      </c>
      <c r="F80" s="9" t="n">
        <v>0</v>
      </c>
      <c r="G80" s="5"/>
      <c r="H80" s="5"/>
      <c r="I80" s="5"/>
      <c r="J80" s="6" t="n">
        <v>0</v>
      </c>
      <c r="K80" s="5"/>
      <c r="L80" s="5" t="s">
        <v>213</v>
      </c>
      <c r="M80" s="6" t="n">
        <v>16</v>
      </c>
      <c r="N80" s="6" t="n">
        <v>0</v>
      </c>
      <c r="O80" s="6" t="n">
        <v>0</v>
      </c>
      <c r="P80" s="5" t="s">
        <v>26</v>
      </c>
      <c r="Q80" s="5" t="s">
        <v>70</v>
      </c>
    </row>
    <row r="81" customFormat="false" ht="15" hidden="false" customHeight="false" outlineLevel="0" collapsed="false">
      <c r="A81" s="14" t="s">
        <v>208</v>
      </c>
      <c r="B81" s="5" t="s">
        <v>223</v>
      </c>
      <c r="C81" s="5"/>
      <c r="D81" s="5"/>
      <c r="E81" s="6" t="n">
        <v>0</v>
      </c>
      <c r="F81" s="9" t="n">
        <v>0</v>
      </c>
      <c r="G81" s="5"/>
      <c r="H81" s="5"/>
      <c r="I81" s="5"/>
      <c r="J81" s="6" t="n">
        <v>0</v>
      </c>
      <c r="K81" s="5"/>
      <c r="L81" s="5"/>
      <c r="M81" s="5"/>
      <c r="N81" s="6" t="n">
        <v>0</v>
      </c>
      <c r="O81" s="6" t="n">
        <v>0</v>
      </c>
      <c r="P81" s="5" t="s">
        <v>26</v>
      </c>
      <c r="Q81" s="5" t="s">
        <v>70</v>
      </c>
    </row>
    <row r="82" customFormat="false" ht="15" hidden="false" customHeight="false" outlineLevel="0" collapsed="false">
      <c r="A82" s="14" t="s">
        <v>208</v>
      </c>
      <c r="B82" s="5" t="s">
        <v>224</v>
      </c>
      <c r="C82" s="5"/>
      <c r="D82" s="5"/>
      <c r="E82" s="6" t="n">
        <v>0</v>
      </c>
      <c r="F82" s="9" t="n">
        <v>0</v>
      </c>
      <c r="G82" s="5"/>
      <c r="H82" s="5"/>
      <c r="I82" s="5"/>
      <c r="J82" s="6" t="n">
        <v>0</v>
      </c>
      <c r="K82" s="5"/>
      <c r="L82" s="5" t="s">
        <v>213</v>
      </c>
      <c r="M82" s="6" t="n">
        <v>64</v>
      </c>
      <c r="N82" s="6" t="n">
        <v>0</v>
      </c>
      <c r="O82" s="6" t="n">
        <v>0</v>
      </c>
      <c r="P82" s="5" t="s">
        <v>26</v>
      </c>
      <c r="Q82" s="5" t="s">
        <v>70</v>
      </c>
    </row>
    <row r="83" customFormat="false" ht="15" hidden="false" customHeight="false" outlineLevel="0" collapsed="false">
      <c r="A83" s="14" t="s">
        <v>208</v>
      </c>
      <c r="B83" s="5" t="s">
        <v>225</v>
      </c>
      <c r="C83" s="5"/>
      <c r="D83" s="5"/>
      <c r="E83" s="6" t="n">
        <v>0</v>
      </c>
      <c r="F83" s="9" t="n">
        <v>0</v>
      </c>
      <c r="G83" s="5"/>
      <c r="H83" s="5"/>
      <c r="I83" s="5"/>
      <c r="J83" s="6" t="n">
        <v>0</v>
      </c>
      <c r="K83" s="5"/>
      <c r="L83" s="5" t="s">
        <v>213</v>
      </c>
      <c r="M83" s="6" t="n">
        <v>256</v>
      </c>
      <c r="N83" s="6" t="n">
        <v>0</v>
      </c>
      <c r="O83" s="6" t="n">
        <v>0</v>
      </c>
      <c r="P83" s="5" t="s">
        <v>26</v>
      </c>
      <c r="Q83" s="5" t="s">
        <v>70</v>
      </c>
    </row>
    <row r="84" customFormat="false" ht="15" hidden="false" customHeight="false" outlineLevel="0" collapsed="false">
      <c r="A84" s="15" t="s">
        <v>226</v>
      </c>
      <c r="B84" s="5" t="s">
        <v>227</v>
      </c>
      <c r="C84" s="5" t="s">
        <v>228</v>
      </c>
      <c r="D84" s="5" t="s">
        <v>229</v>
      </c>
      <c r="E84" s="6" t="n">
        <v>1</v>
      </c>
      <c r="F84" s="8" t="n">
        <v>1</v>
      </c>
      <c r="G84" s="6" t="n">
        <v>88</v>
      </c>
      <c r="H84" s="5" t="s">
        <v>230</v>
      </c>
      <c r="I84" s="6" t="n">
        <v>82</v>
      </c>
      <c r="J84" s="6" t="n">
        <v>7</v>
      </c>
      <c r="K84" s="5" t="s">
        <v>231</v>
      </c>
      <c r="L84" s="5" t="s">
        <v>232</v>
      </c>
      <c r="M84" s="6" t="n">
        <v>128</v>
      </c>
      <c r="N84" s="6" t="n">
        <v>7</v>
      </c>
      <c r="O84" s="6" t="n">
        <v>13</v>
      </c>
      <c r="P84" s="5" t="s">
        <v>26</v>
      </c>
      <c r="Q84" s="5" t="s">
        <v>27</v>
      </c>
    </row>
    <row r="85" customFormat="false" ht="15" hidden="false" customHeight="false" outlineLevel="0" collapsed="false">
      <c r="A85" s="15" t="s">
        <v>226</v>
      </c>
      <c r="B85" s="5" t="s">
        <v>233</v>
      </c>
      <c r="C85" s="5" t="s">
        <v>234</v>
      </c>
      <c r="D85" s="5" t="s">
        <v>235</v>
      </c>
      <c r="E85" s="6" t="n">
        <v>1</v>
      </c>
      <c r="F85" s="8" t="n">
        <v>1</v>
      </c>
      <c r="G85" s="6" t="n">
        <v>19</v>
      </c>
      <c r="H85" s="5" t="s">
        <v>236</v>
      </c>
      <c r="I85" s="6" t="n">
        <v>34</v>
      </c>
      <c r="J85" s="6" t="n">
        <v>2</v>
      </c>
      <c r="K85" s="5" t="s">
        <v>237</v>
      </c>
      <c r="L85" s="5" t="s">
        <v>238</v>
      </c>
      <c r="M85" s="6" t="n">
        <v>128</v>
      </c>
      <c r="N85" s="6" t="n">
        <v>6</v>
      </c>
      <c r="O85" s="6" t="n">
        <v>10</v>
      </c>
      <c r="P85" s="5" t="s">
        <v>26</v>
      </c>
      <c r="Q85" s="5" t="s">
        <v>27</v>
      </c>
    </row>
    <row r="86" customFormat="false" ht="15" hidden="false" customHeight="false" outlineLevel="0" collapsed="false">
      <c r="A86" s="15" t="s">
        <v>226</v>
      </c>
      <c r="B86" s="5" t="s">
        <v>239</v>
      </c>
      <c r="C86" s="5" t="s">
        <v>240</v>
      </c>
      <c r="D86" s="5" t="s">
        <v>241</v>
      </c>
      <c r="E86" s="6" t="n">
        <v>2</v>
      </c>
      <c r="F86" s="8" t="n">
        <v>2</v>
      </c>
      <c r="G86" s="6" t="n">
        <v>23</v>
      </c>
      <c r="H86" s="5" t="s">
        <v>41</v>
      </c>
      <c r="I86" s="6" t="n">
        <v>8</v>
      </c>
      <c r="J86" s="6" t="n">
        <v>1</v>
      </c>
      <c r="K86" s="5" t="s">
        <v>242</v>
      </c>
      <c r="L86" s="5"/>
      <c r="M86" s="6" t="n">
        <v>256</v>
      </c>
      <c r="N86" s="6" t="n">
        <v>5</v>
      </c>
      <c r="O86" s="6" t="n">
        <v>12</v>
      </c>
      <c r="P86" s="5" t="s">
        <v>26</v>
      </c>
      <c r="Q86" s="5" t="s">
        <v>27</v>
      </c>
    </row>
    <row r="87" customFormat="false" ht="15" hidden="false" customHeight="false" outlineLevel="0" collapsed="false">
      <c r="A87" s="15" t="s">
        <v>226</v>
      </c>
      <c r="B87" s="5" t="s">
        <v>243</v>
      </c>
      <c r="C87" s="5" t="s">
        <v>244</v>
      </c>
      <c r="D87" s="5" t="s">
        <v>245</v>
      </c>
      <c r="E87" s="6" t="n">
        <v>2</v>
      </c>
      <c r="F87" s="8" t="n">
        <v>2</v>
      </c>
      <c r="G87" s="6" t="n">
        <v>19</v>
      </c>
      <c r="H87" s="5" t="s">
        <v>246</v>
      </c>
      <c r="I87" s="6" t="n">
        <v>36</v>
      </c>
      <c r="J87" s="6" t="n">
        <v>2</v>
      </c>
      <c r="K87" s="5" t="s">
        <v>247</v>
      </c>
      <c r="L87" s="5"/>
      <c r="M87" s="6" t="n">
        <v>128</v>
      </c>
      <c r="N87" s="6" t="n">
        <v>4</v>
      </c>
      <c r="O87" s="6" t="n">
        <v>4</v>
      </c>
      <c r="P87" s="5" t="s">
        <v>26</v>
      </c>
      <c r="Q87" s="5" t="s">
        <v>27</v>
      </c>
    </row>
    <row r="88" customFormat="false" ht="15" hidden="false" customHeight="false" outlineLevel="0" collapsed="false">
      <c r="A88" s="15" t="s">
        <v>226</v>
      </c>
      <c r="B88" s="5" t="s">
        <v>248</v>
      </c>
      <c r="C88" s="5" t="s">
        <v>249</v>
      </c>
      <c r="D88" s="5" t="s">
        <v>250</v>
      </c>
      <c r="E88" s="6" t="n">
        <v>2</v>
      </c>
      <c r="F88" s="7" t="n">
        <v>2</v>
      </c>
      <c r="G88" s="6" t="n">
        <v>167</v>
      </c>
      <c r="H88" s="5" t="s">
        <v>23</v>
      </c>
      <c r="I88" s="6" t="n">
        <v>3</v>
      </c>
      <c r="J88" s="6" t="n">
        <v>6</v>
      </c>
      <c r="K88" s="5" t="s">
        <v>251</v>
      </c>
      <c r="L88" s="5"/>
      <c r="M88" s="6" t="n">
        <v>64</v>
      </c>
      <c r="N88" s="6" t="n">
        <v>3</v>
      </c>
      <c r="O88" s="6" t="n">
        <v>1</v>
      </c>
      <c r="P88" s="5" t="s">
        <v>26</v>
      </c>
      <c r="Q88" s="5" t="s">
        <v>27</v>
      </c>
    </row>
    <row r="89" customFormat="false" ht="15" hidden="false" customHeight="false" outlineLevel="0" collapsed="false">
      <c r="A89" s="15" t="s">
        <v>226</v>
      </c>
      <c r="B89" s="5" t="s">
        <v>252</v>
      </c>
      <c r="C89" s="5" t="s">
        <v>253</v>
      </c>
      <c r="D89" s="5" t="s">
        <v>254</v>
      </c>
      <c r="E89" s="6" t="n">
        <v>1</v>
      </c>
      <c r="F89" s="7" t="n">
        <v>1</v>
      </c>
      <c r="G89" s="6" t="n">
        <v>23</v>
      </c>
      <c r="H89" s="5" t="s">
        <v>36</v>
      </c>
      <c r="I89" s="6" t="n">
        <v>4</v>
      </c>
      <c r="J89" s="6" t="n">
        <v>1</v>
      </c>
      <c r="K89" s="5" t="s">
        <v>255</v>
      </c>
      <c r="L89" s="5"/>
      <c r="M89" s="6" t="n">
        <v>128</v>
      </c>
      <c r="N89" s="6" t="n">
        <v>2</v>
      </c>
      <c r="O89" s="6" t="n">
        <v>3</v>
      </c>
      <c r="P89" s="5" t="s">
        <v>26</v>
      </c>
      <c r="Q89" s="5" t="s">
        <v>27</v>
      </c>
    </row>
    <row r="90" customFormat="false" ht="15" hidden="false" customHeight="false" outlineLevel="0" collapsed="false">
      <c r="A90" s="15" t="s">
        <v>226</v>
      </c>
      <c r="B90" s="5" t="s">
        <v>256</v>
      </c>
      <c r="C90" s="5" t="s">
        <v>257</v>
      </c>
      <c r="D90" s="5"/>
      <c r="E90" s="6" t="n">
        <v>0</v>
      </c>
      <c r="F90" s="9" t="n">
        <v>0</v>
      </c>
      <c r="G90" s="5"/>
      <c r="H90" s="5"/>
      <c r="I90" s="5"/>
      <c r="J90" s="6" t="n">
        <v>2</v>
      </c>
      <c r="K90" s="5" t="s">
        <v>258</v>
      </c>
      <c r="L90" s="5" t="s">
        <v>232</v>
      </c>
      <c r="M90" s="6" t="n">
        <v>256</v>
      </c>
      <c r="N90" s="6" t="n">
        <v>2</v>
      </c>
      <c r="O90" s="6" t="n">
        <v>1</v>
      </c>
      <c r="P90" s="5" t="s">
        <v>26</v>
      </c>
      <c r="Q90" s="5" t="s">
        <v>70</v>
      </c>
    </row>
    <row r="91" customFormat="false" ht="15" hidden="false" customHeight="false" outlineLevel="0" collapsed="false">
      <c r="A91" s="15" t="s">
        <v>226</v>
      </c>
      <c r="B91" s="5" t="s">
        <v>259</v>
      </c>
      <c r="C91" s="5" t="s">
        <v>260</v>
      </c>
      <c r="D91" s="5"/>
      <c r="E91" s="6" t="n">
        <v>0</v>
      </c>
      <c r="F91" s="9" t="n">
        <v>0</v>
      </c>
      <c r="G91" s="5"/>
      <c r="H91" s="5"/>
      <c r="I91" s="5"/>
      <c r="J91" s="6" t="n">
        <v>0</v>
      </c>
      <c r="K91" s="5"/>
      <c r="L91" s="5" t="s">
        <v>261</v>
      </c>
      <c r="M91" s="6" t="n">
        <v>128</v>
      </c>
      <c r="N91" s="6" t="n">
        <v>1</v>
      </c>
      <c r="O91" s="6" t="n">
        <v>0</v>
      </c>
      <c r="P91" s="5" t="s">
        <v>26</v>
      </c>
      <c r="Q91" s="5" t="s">
        <v>70</v>
      </c>
    </row>
    <row r="92" customFormat="false" ht="15" hidden="false" customHeight="false" outlineLevel="0" collapsed="false">
      <c r="A92" s="15" t="s">
        <v>226</v>
      </c>
      <c r="B92" s="5" t="s">
        <v>262</v>
      </c>
      <c r="C92" s="5"/>
      <c r="D92" s="5"/>
      <c r="E92" s="6" t="n">
        <v>0</v>
      </c>
      <c r="F92" s="9" t="n">
        <v>0</v>
      </c>
      <c r="G92" s="5"/>
      <c r="H92" s="5"/>
      <c r="I92" s="5"/>
      <c r="J92" s="6" t="n">
        <v>0</v>
      </c>
      <c r="K92" s="5"/>
      <c r="L92" s="5" t="s">
        <v>261</v>
      </c>
      <c r="M92" s="6" t="n">
        <v>64</v>
      </c>
      <c r="N92" s="6" t="n">
        <v>0</v>
      </c>
      <c r="O92" s="6" t="n">
        <v>0</v>
      </c>
      <c r="P92" s="5" t="s">
        <v>26</v>
      </c>
      <c r="Q92" s="5" t="s">
        <v>70</v>
      </c>
    </row>
    <row r="93" customFormat="false" ht="15" hidden="false" customHeight="false" outlineLevel="0" collapsed="false">
      <c r="A93" s="15" t="s">
        <v>226</v>
      </c>
      <c r="B93" s="5" t="s">
        <v>263</v>
      </c>
      <c r="C93" s="5"/>
      <c r="D93" s="5"/>
      <c r="E93" s="6" t="n">
        <v>0</v>
      </c>
      <c r="F93" s="9" t="n">
        <v>0</v>
      </c>
      <c r="G93" s="5"/>
      <c r="H93" s="5"/>
      <c r="I93" s="5"/>
      <c r="J93" s="6" t="n">
        <v>0</v>
      </c>
      <c r="K93" s="5"/>
      <c r="L93" s="5" t="s">
        <v>261</v>
      </c>
      <c r="M93" s="6" t="n">
        <v>32</v>
      </c>
      <c r="N93" s="6" t="n">
        <v>0</v>
      </c>
      <c r="O93" s="6" t="n">
        <v>0</v>
      </c>
      <c r="P93" s="5" t="s">
        <v>26</v>
      </c>
      <c r="Q93" s="5" t="s">
        <v>70</v>
      </c>
    </row>
    <row r="94" customFormat="false" ht="15" hidden="false" customHeight="false" outlineLevel="0" collapsed="false">
      <c r="A94" s="15" t="s">
        <v>226</v>
      </c>
      <c r="B94" s="5" t="s">
        <v>264</v>
      </c>
      <c r="C94" s="5"/>
      <c r="D94" s="5"/>
      <c r="E94" s="6" t="n">
        <v>0</v>
      </c>
      <c r="F94" s="9" t="n">
        <v>0</v>
      </c>
      <c r="G94" s="5"/>
      <c r="H94" s="5"/>
      <c r="I94" s="5"/>
      <c r="J94" s="6" t="n">
        <v>0</v>
      </c>
      <c r="K94" s="5"/>
      <c r="L94" s="5" t="s">
        <v>261</v>
      </c>
      <c r="M94" s="6" t="n">
        <v>64</v>
      </c>
      <c r="N94" s="6" t="n">
        <v>0</v>
      </c>
      <c r="O94" s="6" t="n">
        <v>0</v>
      </c>
      <c r="P94" s="5" t="s">
        <v>26</v>
      </c>
      <c r="Q94" s="5" t="s">
        <v>70</v>
      </c>
    </row>
    <row r="95" customFormat="false" ht="15" hidden="false" customHeight="false" outlineLevel="0" collapsed="false">
      <c r="A95" s="15" t="s">
        <v>226</v>
      </c>
      <c r="B95" s="5" t="s">
        <v>265</v>
      </c>
      <c r="C95" s="5"/>
      <c r="D95" s="5"/>
      <c r="E95" s="6" t="n">
        <v>0</v>
      </c>
      <c r="F95" s="9" t="n">
        <v>0</v>
      </c>
      <c r="G95" s="5"/>
      <c r="H95" s="5"/>
      <c r="I95" s="5"/>
      <c r="J95" s="6" t="n">
        <v>0</v>
      </c>
      <c r="K95" s="5"/>
      <c r="L95" s="5"/>
      <c r="M95" s="5"/>
      <c r="N95" s="6" t="n">
        <v>0</v>
      </c>
      <c r="O95" s="6" t="n">
        <v>0</v>
      </c>
      <c r="P95" s="5" t="s">
        <v>26</v>
      </c>
      <c r="Q95" s="5" t="s">
        <v>70</v>
      </c>
    </row>
    <row r="96" customFormat="false" ht="15" hidden="false" customHeight="false" outlineLevel="0" collapsed="false">
      <c r="A96" s="15" t="s">
        <v>226</v>
      </c>
      <c r="B96" s="5" t="s">
        <v>266</v>
      </c>
      <c r="C96" s="5"/>
      <c r="D96" s="5"/>
      <c r="E96" s="6" t="n">
        <v>0</v>
      </c>
      <c r="F96" s="9" t="n">
        <v>0</v>
      </c>
      <c r="G96" s="5"/>
      <c r="H96" s="5"/>
      <c r="I96" s="5"/>
      <c r="J96" s="6" t="n">
        <v>0</v>
      </c>
      <c r="K96" s="5"/>
      <c r="L96" s="5"/>
      <c r="M96" s="5"/>
      <c r="N96" s="6" t="n">
        <v>0</v>
      </c>
      <c r="O96" s="6" t="n">
        <v>0</v>
      </c>
      <c r="P96" s="5" t="s">
        <v>26</v>
      </c>
      <c r="Q96" s="5" t="s">
        <v>70</v>
      </c>
    </row>
    <row r="97" customFormat="false" ht="15" hidden="false" customHeight="false" outlineLevel="0" collapsed="false">
      <c r="A97" s="15" t="s">
        <v>226</v>
      </c>
      <c r="B97" s="5" t="s">
        <v>267</v>
      </c>
      <c r="C97" s="5"/>
      <c r="D97" s="5"/>
      <c r="E97" s="6" t="n">
        <v>0</v>
      </c>
      <c r="F97" s="9" t="n">
        <v>0</v>
      </c>
      <c r="G97" s="5"/>
      <c r="H97" s="5"/>
      <c r="I97" s="5"/>
      <c r="J97" s="6" t="n">
        <v>0</v>
      </c>
      <c r="K97" s="5"/>
      <c r="L97" s="5" t="s">
        <v>232</v>
      </c>
      <c r="M97" s="6" t="n">
        <v>16</v>
      </c>
      <c r="N97" s="6" t="n">
        <v>0</v>
      </c>
      <c r="O97" s="6" t="n">
        <v>0</v>
      </c>
      <c r="P97" s="5" t="s">
        <v>26</v>
      </c>
      <c r="Q97" s="5" t="s">
        <v>70</v>
      </c>
    </row>
    <row r="98" customFormat="false" ht="15" hidden="false" customHeight="false" outlineLevel="0" collapsed="false">
      <c r="A98" s="15" t="s">
        <v>226</v>
      </c>
      <c r="B98" s="5" t="s">
        <v>268</v>
      </c>
      <c r="C98" s="5"/>
      <c r="D98" s="5"/>
      <c r="E98" s="6" t="n">
        <v>0</v>
      </c>
      <c r="F98" s="9" t="n">
        <v>0</v>
      </c>
      <c r="G98" s="5"/>
      <c r="H98" s="5"/>
      <c r="I98" s="5"/>
      <c r="J98" s="6" t="n">
        <v>0</v>
      </c>
      <c r="K98" s="5"/>
      <c r="L98" s="5"/>
      <c r="M98" s="5"/>
      <c r="N98" s="6" t="n">
        <v>0</v>
      </c>
      <c r="O98" s="6" t="n">
        <v>0</v>
      </c>
      <c r="P98" s="5" t="s">
        <v>26</v>
      </c>
      <c r="Q98" s="5" t="s">
        <v>70</v>
      </c>
    </row>
    <row r="99" customFormat="false" ht="15" hidden="false" customHeight="false" outlineLevel="0" collapsed="false">
      <c r="A99" s="15" t="s">
        <v>226</v>
      </c>
      <c r="B99" s="5" t="s">
        <v>269</v>
      </c>
      <c r="C99" s="5"/>
      <c r="D99" s="5"/>
      <c r="E99" s="6" t="n">
        <v>0</v>
      </c>
      <c r="F99" s="9" t="n">
        <v>0</v>
      </c>
      <c r="G99" s="5"/>
      <c r="H99" s="5"/>
      <c r="I99" s="5"/>
      <c r="J99" s="6" t="n">
        <v>0</v>
      </c>
      <c r="K99" s="5"/>
      <c r="L99" s="5"/>
      <c r="M99" s="5"/>
      <c r="N99" s="6" t="n">
        <v>0</v>
      </c>
      <c r="O99" s="6" t="n">
        <v>0</v>
      </c>
      <c r="P99" s="5" t="s">
        <v>26</v>
      </c>
      <c r="Q99" s="5" t="s">
        <v>70</v>
      </c>
    </row>
    <row r="100" customFormat="false" ht="15" hidden="false" customHeight="false" outlineLevel="0" collapsed="false">
      <c r="A100" s="16" t="s">
        <v>270</v>
      </c>
      <c r="B100" s="5" t="s">
        <v>271</v>
      </c>
      <c r="C100" s="5"/>
      <c r="D100" s="5"/>
      <c r="E100" s="6" t="n">
        <v>0</v>
      </c>
      <c r="F100" s="9" t="n">
        <v>0</v>
      </c>
      <c r="G100" s="5"/>
      <c r="H100" s="5"/>
      <c r="I100" s="5"/>
      <c r="J100" s="6" t="n">
        <v>0</v>
      </c>
      <c r="K100" s="5"/>
      <c r="L100" s="5"/>
      <c r="M100" s="5"/>
      <c r="N100" s="6" t="n">
        <v>0</v>
      </c>
      <c r="O100" s="6" t="n">
        <v>0</v>
      </c>
      <c r="P100" s="5" t="s">
        <v>26</v>
      </c>
      <c r="Q100" s="5" t="s">
        <v>70</v>
      </c>
    </row>
    <row r="101" customFormat="false" ht="15" hidden="false" customHeight="false" outlineLevel="0" collapsed="false">
      <c r="A101" s="17" t="s">
        <v>272</v>
      </c>
      <c r="B101" s="5" t="s">
        <v>273</v>
      </c>
      <c r="C101" s="5" t="s">
        <v>274</v>
      </c>
      <c r="D101" s="5" t="s">
        <v>275</v>
      </c>
      <c r="E101" s="6" t="n">
        <v>1</v>
      </c>
      <c r="F101" s="7" t="n">
        <v>1</v>
      </c>
      <c r="G101" s="6" t="n">
        <v>16</v>
      </c>
      <c r="H101" s="5" t="s">
        <v>36</v>
      </c>
      <c r="I101" s="6" t="n">
        <v>4</v>
      </c>
      <c r="J101" s="6" t="n">
        <v>0</v>
      </c>
      <c r="K101" s="5"/>
      <c r="L101" s="5"/>
      <c r="M101" s="6" t="n">
        <v>128</v>
      </c>
      <c r="N101" s="6" t="n">
        <v>2</v>
      </c>
      <c r="O101" s="6" t="n">
        <v>10</v>
      </c>
      <c r="P101" s="5" t="s">
        <v>26</v>
      </c>
      <c r="Q101" s="18" t="s">
        <v>276</v>
      </c>
    </row>
    <row r="102" customFormat="false" ht="15" hidden="false" customHeight="false" outlineLevel="0" collapsed="false">
      <c r="A102" s="17" t="s">
        <v>272</v>
      </c>
      <c r="B102" s="5" t="s">
        <v>277</v>
      </c>
      <c r="C102" s="5" t="s">
        <v>278</v>
      </c>
      <c r="D102" s="5"/>
      <c r="E102" s="6" t="n">
        <v>0</v>
      </c>
      <c r="F102" s="9" t="n">
        <v>0</v>
      </c>
      <c r="G102" s="5"/>
      <c r="H102" s="5"/>
      <c r="I102" s="5"/>
      <c r="J102" s="6" t="n">
        <v>7</v>
      </c>
      <c r="K102" s="5" t="s">
        <v>279</v>
      </c>
      <c r="L102" s="5"/>
      <c r="M102" s="6" t="n">
        <v>32</v>
      </c>
      <c r="N102" s="6" t="n">
        <v>2</v>
      </c>
      <c r="O102" s="6" t="n">
        <v>4</v>
      </c>
      <c r="P102" s="5" t="s">
        <v>26</v>
      </c>
      <c r="Q102" s="5" t="s">
        <v>70</v>
      </c>
    </row>
    <row r="103" customFormat="false" ht="15" hidden="false" customHeight="false" outlineLevel="0" collapsed="false">
      <c r="A103" s="17" t="s">
        <v>272</v>
      </c>
      <c r="B103" s="5" t="s">
        <v>280</v>
      </c>
      <c r="C103" s="5"/>
      <c r="D103" s="5"/>
      <c r="E103" s="6" t="n">
        <v>0</v>
      </c>
      <c r="F103" s="9" t="n">
        <v>0</v>
      </c>
      <c r="G103" s="5"/>
      <c r="H103" s="5"/>
      <c r="I103" s="5"/>
      <c r="J103" s="6" t="n">
        <v>0</v>
      </c>
      <c r="K103" s="5"/>
      <c r="L103" s="5"/>
      <c r="M103" s="6" t="n">
        <v>64</v>
      </c>
      <c r="N103" s="6" t="n">
        <v>0</v>
      </c>
      <c r="O103" s="6" t="n">
        <v>0</v>
      </c>
      <c r="P103" s="5" t="s">
        <v>26</v>
      </c>
      <c r="Q103" s="5" t="s">
        <v>70</v>
      </c>
    </row>
    <row r="104" customFormat="false" ht="15" hidden="false" customHeight="false" outlineLevel="0" collapsed="false">
      <c r="A104" s="17" t="s">
        <v>272</v>
      </c>
      <c r="B104" s="5" t="s">
        <v>281</v>
      </c>
      <c r="C104" s="5"/>
      <c r="D104" s="5"/>
      <c r="E104" s="6" t="n">
        <v>0</v>
      </c>
      <c r="F104" s="9" t="n">
        <v>0</v>
      </c>
      <c r="G104" s="5"/>
      <c r="H104" s="5"/>
      <c r="I104" s="5"/>
      <c r="J104" s="6" t="n">
        <v>0</v>
      </c>
      <c r="K104" s="5"/>
      <c r="L104" s="5"/>
      <c r="M104" s="5"/>
      <c r="N104" s="6" t="n">
        <v>0</v>
      </c>
      <c r="O104" s="6" t="n">
        <v>0</v>
      </c>
      <c r="P104" s="5" t="s">
        <v>26</v>
      </c>
      <c r="Q104" s="5" t="s">
        <v>70</v>
      </c>
    </row>
    <row r="105" customFormat="false" ht="15" hidden="false" customHeight="false" outlineLevel="0" collapsed="false">
      <c r="A105" s="17" t="s">
        <v>272</v>
      </c>
      <c r="B105" s="5" t="s">
        <v>282</v>
      </c>
      <c r="C105" s="5" t="s">
        <v>274</v>
      </c>
      <c r="D105" s="5" t="s">
        <v>275</v>
      </c>
      <c r="E105" s="6" t="n">
        <v>0</v>
      </c>
      <c r="F105" s="9" t="n">
        <v>0</v>
      </c>
      <c r="G105" s="5"/>
      <c r="H105" s="5"/>
      <c r="I105" s="5"/>
      <c r="J105" s="6" t="n">
        <v>0</v>
      </c>
      <c r="K105" s="5"/>
      <c r="L105" s="5"/>
      <c r="M105" s="6" t="n">
        <v>128</v>
      </c>
      <c r="N105" s="6" t="n">
        <v>4</v>
      </c>
      <c r="O105" s="6" t="n">
        <v>2</v>
      </c>
      <c r="P105" s="10" t="s">
        <v>283</v>
      </c>
      <c r="Q105" s="18" t="s">
        <v>276</v>
      </c>
    </row>
    <row r="106" customFormat="false" ht="15" hidden="false" customHeight="false" outlineLevel="0" collapsed="false">
      <c r="A106" s="17" t="s">
        <v>272</v>
      </c>
      <c r="B106" s="5" t="s">
        <v>284</v>
      </c>
      <c r="C106" s="5" t="s">
        <v>274</v>
      </c>
      <c r="D106" s="5" t="s">
        <v>275</v>
      </c>
      <c r="E106" s="6" t="n">
        <v>0</v>
      </c>
      <c r="F106" s="9" t="n">
        <v>0</v>
      </c>
      <c r="G106" s="5"/>
      <c r="H106" s="5"/>
      <c r="I106" s="5"/>
      <c r="J106" s="6" t="n">
        <v>0</v>
      </c>
      <c r="K106" s="5"/>
      <c r="L106" s="5"/>
      <c r="M106" s="6" t="n">
        <v>128</v>
      </c>
      <c r="N106" s="6" t="n">
        <v>2</v>
      </c>
      <c r="O106" s="6" t="n">
        <v>4</v>
      </c>
      <c r="P106" s="10" t="s">
        <v>283</v>
      </c>
      <c r="Q106" s="18" t="s">
        <v>276</v>
      </c>
    </row>
    <row r="107" customFormat="false" ht="15" hidden="false" customHeight="false" outlineLevel="0" collapsed="false">
      <c r="A107" s="17" t="s">
        <v>272</v>
      </c>
      <c r="B107" s="5" t="s">
        <v>285</v>
      </c>
      <c r="C107" s="5"/>
      <c r="D107" s="5" t="s">
        <v>275</v>
      </c>
      <c r="E107" s="6" t="n">
        <v>0</v>
      </c>
      <c r="F107" s="9" t="n">
        <v>0</v>
      </c>
      <c r="G107" s="5"/>
      <c r="H107" s="5"/>
      <c r="I107" s="5"/>
      <c r="J107" s="6" t="n">
        <v>0</v>
      </c>
      <c r="K107" s="5"/>
      <c r="L107" s="5"/>
      <c r="M107" s="6" t="n">
        <v>128</v>
      </c>
      <c r="N107" s="6" t="n">
        <v>0</v>
      </c>
      <c r="O107" s="6" t="n">
        <v>0</v>
      </c>
      <c r="P107" s="10" t="s">
        <v>286</v>
      </c>
      <c r="Q107" s="5" t="s">
        <v>70</v>
      </c>
    </row>
    <row r="108" customFormat="false" ht="15" hidden="false" customHeight="false" outlineLevel="0" collapsed="false">
      <c r="A108" s="19" t="s">
        <v>287</v>
      </c>
      <c r="B108" s="5" t="s">
        <v>288</v>
      </c>
      <c r="C108" s="5" t="s">
        <v>289</v>
      </c>
      <c r="D108" s="5" t="s">
        <v>290</v>
      </c>
      <c r="E108" s="6" t="n">
        <v>1</v>
      </c>
      <c r="F108" s="7" t="n">
        <v>1</v>
      </c>
      <c r="G108" s="6" t="n">
        <v>23</v>
      </c>
      <c r="H108" s="5"/>
      <c r="I108" s="5"/>
      <c r="J108" s="6" t="n">
        <v>0</v>
      </c>
      <c r="K108" s="5"/>
      <c r="L108" s="5"/>
      <c r="M108" s="6" t="n">
        <v>128</v>
      </c>
      <c r="N108" s="6" t="n">
        <v>1</v>
      </c>
      <c r="O108" s="6" t="n">
        <v>0</v>
      </c>
      <c r="P108" s="5" t="s">
        <v>26</v>
      </c>
      <c r="Q108" s="5" t="s">
        <v>70</v>
      </c>
    </row>
    <row r="109" customFormat="false" ht="15" hidden="false" customHeight="false" outlineLevel="0" collapsed="false">
      <c r="A109" s="19" t="s">
        <v>287</v>
      </c>
      <c r="B109" s="5" t="s">
        <v>291</v>
      </c>
      <c r="C109" s="5" t="s">
        <v>292</v>
      </c>
      <c r="D109" s="5" t="s">
        <v>293</v>
      </c>
      <c r="E109" s="6" t="n">
        <v>2</v>
      </c>
      <c r="F109" s="7" t="n">
        <v>2</v>
      </c>
      <c r="G109" s="6" t="n">
        <v>23</v>
      </c>
      <c r="H109" s="5"/>
      <c r="I109" s="5"/>
      <c r="J109" s="6" t="n">
        <v>0</v>
      </c>
      <c r="K109" s="5"/>
      <c r="L109" s="5"/>
      <c r="M109" s="6" t="n">
        <v>128</v>
      </c>
      <c r="N109" s="6" t="n">
        <v>1</v>
      </c>
      <c r="O109" s="6" t="n">
        <v>0</v>
      </c>
      <c r="P109" s="5" t="s">
        <v>26</v>
      </c>
      <c r="Q109" s="5" t="s">
        <v>70</v>
      </c>
    </row>
    <row r="110" customFormat="false" ht="15" hidden="false" customHeight="false" outlineLevel="0" collapsed="false">
      <c r="A110" s="19" t="s">
        <v>287</v>
      </c>
      <c r="B110" s="5" t="s">
        <v>294</v>
      </c>
      <c r="C110" s="5" t="s">
        <v>295</v>
      </c>
      <c r="D110" s="5"/>
      <c r="E110" s="6" t="n">
        <v>0</v>
      </c>
      <c r="F110" s="9" t="n">
        <v>0</v>
      </c>
      <c r="G110" s="5"/>
      <c r="H110" s="5"/>
      <c r="I110" s="5"/>
      <c r="J110" s="6" t="n">
        <v>0</v>
      </c>
      <c r="K110" s="5"/>
      <c r="L110" s="5"/>
      <c r="M110" s="6" t="n">
        <v>64</v>
      </c>
      <c r="N110" s="6" t="n">
        <v>1</v>
      </c>
      <c r="O110" s="6" t="n">
        <v>15</v>
      </c>
      <c r="P110" s="5" t="s">
        <v>26</v>
      </c>
      <c r="Q110" s="5" t="s">
        <v>70</v>
      </c>
    </row>
    <row r="111" customFormat="false" ht="15" hidden="false" customHeight="false" outlineLevel="0" collapsed="false">
      <c r="A111" s="19" t="s">
        <v>287</v>
      </c>
      <c r="B111" s="5" t="s">
        <v>296</v>
      </c>
      <c r="C111" s="5"/>
      <c r="D111" s="5"/>
      <c r="E111" s="6" t="n">
        <v>0</v>
      </c>
      <c r="F111" s="9" t="n">
        <v>0</v>
      </c>
      <c r="G111" s="5"/>
      <c r="H111" s="5"/>
      <c r="I111" s="5"/>
      <c r="J111" s="6" t="n">
        <v>0</v>
      </c>
      <c r="K111" s="5"/>
      <c r="L111" s="5"/>
      <c r="M111" s="5"/>
      <c r="N111" s="6" t="n">
        <v>0</v>
      </c>
      <c r="O111" s="6" t="n">
        <v>0</v>
      </c>
      <c r="P111" s="5" t="s">
        <v>26</v>
      </c>
      <c r="Q111" s="5" t="s">
        <v>70</v>
      </c>
    </row>
    <row r="112" customFormat="false" ht="15" hidden="false" customHeight="false" outlineLevel="0" collapsed="false">
      <c r="A112" s="19" t="s">
        <v>287</v>
      </c>
      <c r="B112" s="5" t="s">
        <v>297</v>
      </c>
      <c r="C112" s="5"/>
      <c r="D112" s="5"/>
      <c r="E112" s="6" t="n">
        <v>0</v>
      </c>
      <c r="F112" s="9" t="n">
        <v>0</v>
      </c>
      <c r="G112" s="5"/>
      <c r="H112" s="5"/>
      <c r="I112" s="5"/>
      <c r="J112" s="6" t="n">
        <v>0</v>
      </c>
      <c r="K112" s="5"/>
      <c r="L112" s="5"/>
      <c r="M112" s="5"/>
      <c r="N112" s="6" t="n">
        <v>0</v>
      </c>
      <c r="O112" s="6" t="n">
        <v>0</v>
      </c>
      <c r="P112" s="5" t="s">
        <v>26</v>
      </c>
      <c r="Q112" s="5" t="s">
        <v>70</v>
      </c>
    </row>
    <row r="113" customFormat="false" ht="15" hidden="false" customHeight="false" outlineLevel="0" collapsed="false">
      <c r="A113" s="19" t="s">
        <v>287</v>
      </c>
      <c r="B113" s="5" t="s">
        <v>298</v>
      </c>
      <c r="C113" s="5"/>
      <c r="D113" s="5"/>
      <c r="E113" s="6" t="n">
        <v>0</v>
      </c>
      <c r="F113" s="9" t="n">
        <v>0</v>
      </c>
      <c r="G113" s="5"/>
      <c r="H113" s="5"/>
      <c r="I113" s="5"/>
      <c r="J113" s="6" t="n">
        <v>0</v>
      </c>
      <c r="K113" s="5"/>
      <c r="L113" s="5"/>
      <c r="M113" s="6" t="n">
        <v>64</v>
      </c>
      <c r="N113" s="6" t="n">
        <v>0</v>
      </c>
      <c r="O113" s="6" t="n">
        <v>0</v>
      </c>
      <c r="P113" s="5" t="s">
        <v>26</v>
      </c>
      <c r="Q113" s="5" t="s">
        <v>70</v>
      </c>
    </row>
    <row r="114" customFormat="false" ht="15" hidden="false" customHeight="false" outlineLevel="0" collapsed="false">
      <c r="A114" s="19" t="s">
        <v>287</v>
      </c>
      <c r="B114" s="5" t="s">
        <v>299</v>
      </c>
      <c r="C114" s="5"/>
      <c r="D114" s="5"/>
      <c r="E114" s="6" t="n">
        <v>0</v>
      </c>
      <c r="F114" s="9" t="n">
        <v>0</v>
      </c>
      <c r="G114" s="5"/>
      <c r="H114" s="5"/>
      <c r="I114" s="5"/>
      <c r="J114" s="6" t="n">
        <v>0</v>
      </c>
      <c r="K114" s="5"/>
      <c r="L114" s="5"/>
      <c r="M114" s="6" t="n">
        <v>64</v>
      </c>
      <c r="N114" s="6" t="n">
        <v>0</v>
      </c>
      <c r="O114" s="6" t="n">
        <v>0</v>
      </c>
      <c r="P114" s="5" t="s">
        <v>26</v>
      </c>
      <c r="Q114" s="5" t="s">
        <v>70</v>
      </c>
    </row>
    <row r="115" customFormat="false" ht="15" hidden="false" customHeight="false" outlineLevel="0" collapsed="false">
      <c r="A115" s="19" t="s">
        <v>287</v>
      </c>
      <c r="B115" s="5" t="s">
        <v>300</v>
      </c>
      <c r="C115" s="5"/>
      <c r="D115" s="5"/>
      <c r="E115" s="6" t="n">
        <v>0</v>
      </c>
      <c r="F115" s="9" t="n">
        <v>0</v>
      </c>
      <c r="G115" s="5"/>
      <c r="H115" s="5"/>
      <c r="I115" s="5"/>
      <c r="J115" s="6" t="n">
        <v>0</v>
      </c>
      <c r="K115" s="5"/>
      <c r="L115" s="5"/>
      <c r="M115" s="5"/>
      <c r="N115" s="6" t="n">
        <v>0</v>
      </c>
      <c r="O115" s="6" t="n">
        <v>0</v>
      </c>
      <c r="P115" s="5" t="s">
        <v>26</v>
      </c>
      <c r="Q115" s="5" t="s">
        <v>70</v>
      </c>
    </row>
    <row r="116" customFormat="false" ht="15" hidden="false" customHeight="false" outlineLevel="0" collapsed="false">
      <c r="A116" s="19" t="s">
        <v>287</v>
      </c>
      <c r="B116" s="5" t="s">
        <v>301</v>
      </c>
      <c r="C116" s="5"/>
      <c r="D116" s="5"/>
      <c r="E116" s="6" t="n">
        <v>0</v>
      </c>
      <c r="F116" s="9" t="n">
        <v>0</v>
      </c>
      <c r="G116" s="5"/>
      <c r="H116" s="5"/>
      <c r="I116" s="5"/>
      <c r="J116" s="6" t="n">
        <v>0</v>
      </c>
      <c r="K116" s="5"/>
      <c r="L116" s="5"/>
      <c r="M116" s="5"/>
      <c r="N116" s="6" t="n">
        <v>0</v>
      </c>
      <c r="O116" s="6" t="n">
        <v>0</v>
      </c>
      <c r="P116" s="5" t="s">
        <v>26</v>
      </c>
      <c r="Q116" s="5" t="s">
        <v>70</v>
      </c>
    </row>
    <row r="117" customFormat="false" ht="15" hidden="false" customHeight="false" outlineLevel="0" collapsed="false">
      <c r="A117" s="19" t="s">
        <v>287</v>
      </c>
      <c r="B117" s="5" t="s">
        <v>302</v>
      </c>
      <c r="C117" s="5"/>
      <c r="D117" s="5"/>
      <c r="E117" s="6" t="n">
        <v>0</v>
      </c>
      <c r="F117" s="9" t="n">
        <v>0</v>
      </c>
      <c r="G117" s="5"/>
      <c r="H117" s="5"/>
      <c r="I117" s="5"/>
      <c r="J117" s="6" t="n">
        <v>0</v>
      </c>
      <c r="K117" s="5"/>
      <c r="L117" s="5"/>
      <c r="M117" s="5"/>
      <c r="N117" s="6" t="n">
        <v>0</v>
      </c>
      <c r="O117" s="6" t="n">
        <v>0</v>
      </c>
      <c r="P117" s="5" t="s">
        <v>26</v>
      </c>
      <c r="Q117" s="5" t="s">
        <v>70</v>
      </c>
    </row>
    <row r="118" customFormat="false" ht="15" hidden="false" customHeight="false" outlineLevel="0" collapsed="false">
      <c r="A118" s="19" t="s">
        <v>287</v>
      </c>
      <c r="B118" s="5" t="s">
        <v>303</v>
      </c>
      <c r="C118" s="5"/>
      <c r="D118" s="5"/>
      <c r="E118" s="6" t="n">
        <v>0</v>
      </c>
      <c r="F118" s="9" t="n">
        <v>0</v>
      </c>
      <c r="G118" s="5"/>
      <c r="H118" s="5"/>
      <c r="I118" s="5"/>
      <c r="J118" s="6" t="n">
        <v>0</v>
      </c>
      <c r="K118" s="5"/>
      <c r="L118" s="5"/>
      <c r="M118" s="5"/>
      <c r="N118" s="6" t="n">
        <v>0</v>
      </c>
      <c r="O118" s="6" t="n">
        <v>0</v>
      </c>
      <c r="P118" s="5" t="s">
        <v>26</v>
      </c>
      <c r="Q118" s="5" t="s">
        <v>70</v>
      </c>
    </row>
    <row r="119" customFormat="false" ht="15" hidden="false" customHeight="false" outlineLevel="0" collapsed="false">
      <c r="A119" s="19" t="s">
        <v>287</v>
      </c>
      <c r="B119" s="5" t="s">
        <v>304</v>
      </c>
      <c r="C119" s="5"/>
      <c r="D119" s="5"/>
      <c r="E119" s="6" t="n">
        <v>0</v>
      </c>
      <c r="F119" s="9" t="n">
        <v>0</v>
      </c>
      <c r="G119" s="5"/>
      <c r="H119" s="5"/>
      <c r="I119" s="5"/>
      <c r="J119" s="6" t="n">
        <v>0</v>
      </c>
      <c r="K119" s="5"/>
      <c r="L119" s="5"/>
      <c r="M119" s="6" t="n">
        <v>16</v>
      </c>
      <c r="N119" s="6" t="n">
        <v>0</v>
      </c>
      <c r="O119" s="6" t="n">
        <v>0</v>
      </c>
      <c r="P119" s="5" t="s">
        <v>26</v>
      </c>
      <c r="Q119" s="5" t="s">
        <v>70</v>
      </c>
    </row>
    <row r="120" customFormat="false" ht="15" hidden="false" customHeight="false" outlineLevel="0" collapsed="false">
      <c r="A120" s="19" t="s">
        <v>287</v>
      </c>
      <c r="B120" s="5" t="s">
        <v>305</v>
      </c>
      <c r="C120" s="5"/>
      <c r="D120" s="5"/>
      <c r="E120" s="6" t="n">
        <v>0</v>
      </c>
      <c r="F120" s="9" t="n">
        <v>0</v>
      </c>
      <c r="G120" s="5"/>
      <c r="H120" s="5"/>
      <c r="I120" s="5"/>
      <c r="J120" s="6" t="n">
        <v>0</v>
      </c>
      <c r="K120" s="5"/>
      <c r="L120" s="5"/>
      <c r="M120" s="6" t="n">
        <v>128</v>
      </c>
      <c r="N120" s="6" t="n">
        <v>0</v>
      </c>
      <c r="O120" s="6" t="n">
        <v>0</v>
      </c>
      <c r="P120" s="5" t="s">
        <v>26</v>
      </c>
      <c r="Q120" s="5" t="s">
        <v>70</v>
      </c>
    </row>
    <row r="121" customFormat="false" ht="15" hidden="false" customHeight="false" outlineLevel="0" collapsed="false">
      <c r="A121" s="19" t="s">
        <v>287</v>
      </c>
      <c r="B121" s="5" t="s">
        <v>306</v>
      </c>
      <c r="C121" s="5"/>
      <c r="D121" s="5" t="s">
        <v>307</v>
      </c>
      <c r="E121" s="6" t="n">
        <v>1</v>
      </c>
      <c r="F121" s="7" t="n">
        <v>1</v>
      </c>
      <c r="G121" s="6" t="n">
        <v>169</v>
      </c>
      <c r="H121" s="5"/>
      <c r="I121" s="5"/>
      <c r="J121" s="6" t="n">
        <v>0</v>
      </c>
      <c r="K121" s="5"/>
      <c r="L121" s="5"/>
      <c r="M121" s="5"/>
      <c r="N121" s="6" t="n">
        <v>0</v>
      </c>
      <c r="O121" s="6" t="n">
        <v>0</v>
      </c>
      <c r="P121" s="10" t="s">
        <v>205</v>
      </c>
      <c r="Q121" s="5" t="s">
        <v>70</v>
      </c>
    </row>
    <row r="122" customFormat="false" ht="15" hidden="false" customHeight="false" outlineLevel="0" collapsed="false">
      <c r="A122" s="19" t="s">
        <v>287</v>
      </c>
      <c r="B122" s="5" t="s">
        <v>308</v>
      </c>
      <c r="C122" s="5"/>
      <c r="D122" s="5" t="s">
        <v>309</v>
      </c>
      <c r="E122" s="6" t="n">
        <v>1</v>
      </c>
      <c r="F122" s="7" t="n">
        <v>1</v>
      </c>
      <c r="G122" s="6" t="n">
        <v>23</v>
      </c>
      <c r="H122" s="5"/>
      <c r="I122" s="5"/>
      <c r="J122" s="6" t="n">
        <v>0</v>
      </c>
      <c r="K122" s="5"/>
      <c r="L122" s="5"/>
      <c r="M122" s="5"/>
      <c r="N122" s="6" t="n">
        <v>0</v>
      </c>
      <c r="O122" s="6" t="n">
        <v>0</v>
      </c>
      <c r="P122" s="10" t="s">
        <v>205</v>
      </c>
      <c r="Q122" s="5" t="s">
        <v>70</v>
      </c>
    </row>
    <row r="123" customFormat="false" ht="15" hidden="false" customHeight="false" outlineLevel="0" collapsed="false">
      <c r="A123" s="19" t="s">
        <v>287</v>
      </c>
      <c r="B123" s="5" t="s">
        <v>310</v>
      </c>
      <c r="C123" s="5"/>
      <c r="D123" s="5" t="s">
        <v>290</v>
      </c>
      <c r="E123" s="6" t="n">
        <v>0</v>
      </c>
      <c r="F123" s="9" t="n">
        <v>0</v>
      </c>
      <c r="G123" s="5"/>
      <c r="H123" s="5"/>
      <c r="I123" s="5"/>
      <c r="J123" s="6" t="n">
        <v>0</v>
      </c>
      <c r="K123" s="5"/>
      <c r="L123" s="5"/>
      <c r="M123" s="6" t="n">
        <v>128</v>
      </c>
      <c r="N123" s="6" t="n">
        <v>0</v>
      </c>
      <c r="O123" s="6" t="n">
        <v>0</v>
      </c>
      <c r="P123" s="10" t="s">
        <v>311</v>
      </c>
      <c r="Q123" s="5" t="s">
        <v>70</v>
      </c>
    </row>
  </sheetData>
  <autoFilter ref="A4:Q1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2"/>
    <col collapsed="false" customWidth="true" hidden="false" outlineLevel="0" max="3" min="3" style="0" width="7"/>
    <col collapsed="false" customWidth="true" hidden="false" outlineLevel="0" max="4" min="4" style="0" width="20"/>
    <col collapsed="false" customWidth="true" hidden="false" outlineLevel="0" max="5" min="5" style="0" width="9"/>
    <col collapsed="false" customWidth="true" hidden="false" outlineLevel="0" max="6" min="6" style="0" width="7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44"/>
    <col collapsed="false" customWidth="true" hidden="false" outlineLevel="0" max="12" min="12" style="0" width="9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34"/>
    <col collapsed="false" customWidth="true" hidden="false" outlineLevel="0" max="17" min="17" style="0" width="20"/>
  </cols>
  <sheetData>
    <row r="1" customFormat="false" ht="17.35" hidden="false" customHeight="false" outlineLevel="0" collapsed="false">
      <c r="A1" s="1" t="s">
        <v>312</v>
      </c>
    </row>
    <row r="2" customFormat="false" ht="15" hidden="false" customHeight="false" outlineLevel="0" collapsed="false">
      <c r="A2" s="2" t="s">
        <v>313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15" hidden="false" customHeight="false" outlineLevel="0" collapsed="false">
      <c r="A5" s="12" t="s">
        <v>131</v>
      </c>
      <c r="B5" s="5" t="s">
        <v>314</v>
      </c>
      <c r="C5" s="5" t="s">
        <v>315</v>
      </c>
      <c r="D5" s="5" t="s">
        <v>316</v>
      </c>
      <c r="E5" s="6" t="n">
        <v>6</v>
      </c>
      <c r="F5" s="7" t="n">
        <v>6</v>
      </c>
      <c r="G5" s="6" t="n">
        <v>167</v>
      </c>
      <c r="H5" s="5" t="s">
        <v>23</v>
      </c>
      <c r="I5" s="6" t="n">
        <v>3</v>
      </c>
      <c r="J5" s="6" t="n">
        <v>3</v>
      </c>
      <c r="K5" s="5" t="s">
        <v>317</v>
      </c>
      <c r="L5" s="5" t="s">
        <v>137</v>
      </c>
      <c r="M5" s="6" t="n">
        <v>128</v>
      </c>
      <c r="N5" s="6" t="n">
        <v>7</v>
      </c>
      <c r="O5" s="6" t="n">
        <v>16</v>
      </c>
      <c r="P5" s="5" t="s">
        <v>26</v>
      </c>
      <c r="Q5" s="5" t="s">
        <v>27</v>
      </c>
    </row>
    <row r="6" customFormat="false" ht="15" hidden="false" customHeight="false" outlineLevel="0" collapsed="false">
      <c r="A6" s="11" t="s">
        <v>79</v>
      </c>
      <c r="B6" s="5" t="s">
        <v>318</v>
      </c>
      <c r="C6" s="5" t="s">
        <v>319</v>
      </c>
      <c r="D6" s="5" t="s">
        <v>320</v>
      </c>
      <c r="E6" s="6" t="n">
        <v>7</v>
      </c>
      <c r="F6" s="7" t="n">
        <v>7</v>
      </c>
      <c r="G6" s="6" t="n">
        <v>167</v>
      </c>
      <c r="H6" s="5" t="s">
        <v>23</v>
      </c>
      <c r="I6" s="6" t="n">
        <v>3</v>
      </c>
      <c r="J6" s="6" t="n">
        <v>3</v>
      </c>
      <c r="K6" s="5" t="s">
        <v>321</v>
      </c>
      <c r="L6" s="5" t="s">
        <v>84</v>
      </c>
      <c r="M6" s="6" t="n">
        <v>128</v>
      </c>
      <c r="N6" s="6" t="n">
        <v>7</v>
      </c>
      <c r="O6" s="6" t="n">
        <v>11</v>
      </c>
      <c r="P6" s="5" t="s">
        <v>26</v>
      </c>
      <c r="Q6" s="5" t="s">
        <v>27</v>
      </c>
    </row>
    <row r="7" customFormat="false" ht="15" hidden="false" customHeight="false" outlineLevel="0" collapsed="false">
      <c r="A7" s="19" t="s">
        <v>287</v>
      </c>
      <c r="B7" s="5" t="s">
        <v>322</v>
      </c>
      <c r="C7" s="5" t="s">
        <v>323</v>
      </c>
      <c r="D7" s="5"/>
      <c r="E7" s="6" t="n">
        <v>0</v>
      </c>
      <c r="F7" s="9" t="n">
        <v>0</v>
      </c>
      <c r="G7" s="5"/>
      <c r="H7" s="5"/>
      <c r="I7" s="5"/>
      <c r="J7" s="6" t="n">
        <v>7</v>
      </c>
      <c r="K7" s="5" t="s">
        <v>324</v>
      </c>
      <c r="L7" s="5"/>
      <c r="M7" s="6" t="n">
        <v>64</v>
      </c>
      <c r="N7" s="6" t="n">
        <v>61</v>
      </c>
      <c r="O7" s="6" t="n">
        <v>137</v>
      </c>
      <c r="P7" s="5" t="s">
        <v>26</v>
      </c>
      <c r="Q7" s="5" t="s">
        <v>70</v>
      </c>
    </row>
    <row r="8" customFormat="false" ht="15" hidden="false" customHeight="false" outlineLevel="0" collapsed="false">
      <c r="A8" s="19" t="s">
        <v>287</v>
      </c>
      <c r="B8" s="5" t="s">
        <v>325</v>
      </c>
      <c r="C8" s="5" t="s">
        <v>326</v>
      </c>
      <c r="D8" s="5"/>
      <c r="E8" s="6" t="n">
        <v>0</v>
      </c>
      <c r="F8" s="9" t="n">
        <v>0</v>
      </c>
      <c r="G8" s="5"/>
      <c r="H8" s="5"/>
      <c r="I8" s="5"/>
      <c r="J8" s="6" t="n">
        <v>7</v>
      </c>
      <c r="K8" s="5" t="s">
        <v>327</v>
      </c>
      <c r="L8" s="5"/>
      <c r="M8" s="6" t="n">
        <v>64</v>
      </c>
      <c r="N8" s="6" t="n">
        <v>54</v>
      </c>
      <c r="O8" s="6" t="n">
        <v>64</v>
      </c>
      <c r="P8" s="5" t="s">
        <v>26</v>
      </c>
      <c r="Q8" s="5" t="s">
        <v>70</v>
      </c>
    </row>
    <row r="9" customFormat="false" ht="15" hidden="false" customHeight="false" outlineLevel="0" collapsed="false">
      <c r="A9" s="16" t="s">
        <v>270</v>
      </c>
      <c r="B9" s="5" t="s">
        <v>328</v>
      </c>
      <c r="C9" s="5" t="s">
        <v>329</v>
      </c>
      <c r="D9" s="5"/>
      <c r="E9" s="6" t="n">
        <v>0</v>
      </c>
      <c r="F9" s="9" t="n">
        <v>0</v>
      </c>
      <c r="G9" s="5"/>
      <c r="H9" s="5"/>
      <c r="I9" s="5"/>
      <c r="J9" s="6" t="n">
        <v>7</v>
      </c>
      <c r="K9" s="5" t="s">
        <v>330</v>
      </c>
      <c r="L9" s="5"/>
      <c r="M9" s="6" t="n">
        <v>64</v>
      </c>
      <c r="N9" s="6" t="n">
        <v>34</v>
      </c>
      <c r="O9" s="6" t="n">
        <v>64</v>
      </c>
      <c r="P9" s="5" t="s">
        <v>26</v>
      </c>
      <c r="Q9" s="5" t="s">
        <v>70</v>
      </c>
    </row>
    <row r="10" customFormat="false" ht="15" hidden="false" customHeight="false" outlineLevel="0" collapsed="false">
      <c r="A10" s="16" t="s">
        <v>270</v>
      </c>
      <c r="B10" s="5" t="s">
        <v>331</v>
      </c>
      <c r="C10" s="5" t="s">
        <v>332</v>
      </c>
      <c r="D10" s="5"/>
      <c r="E10" s="6" t="n">
        <v>0</v>
      </c>
      <c r="F10" s="9" t="n">
        <v>0</v>
      </c>
      <c r="G10" s="5"/>
      <c r="H10" s="5"/>
      <c r="I10" s="5"/>
      <c r="J10" s="6" t="n">
        <v>7</v>
      </c>
      <c r="K10" s="5" t="s">
        <v>333</v>
      </c>
      <c r="L10" s="5"/>
      <c r="M10" s="6" t="n">
        <v>64</v>
      </c>
      <c r="N10" s="6" t="n">
        <v>32</v>
      </c>
      <c r="O10" s="6" t="n">
        <v>41</v>
      </c>
      <c r="P10" s="5" t="s">
        <v>26</v>
      </c>
      <c r="Q10" s="5" t="s">
        <v>70</v>
      </c>
    </row>
    <row r="11" customFormat="false" ht="15" hidden="false" customHeight="false" outlineLevel="0" collapsed="false">
      <c r="A11" s="16" t="s">
        <v>270</v>
      </c>
      <c r="B11" s="5" t="s">
        <v>334</v>
      </c>
      <c r="C11" s="5" t="s">
        <v>335</v>
      </c>
      <c r="D11" s="5"/>
      <c r="E11" s="6" t="n">
        <v>0</v>
      </c>
      <c r="F11" s="9" t="n">
        <v>0</v>
      </c>
      <c r="G11" s="5"/>
      <c r="H11" s="5"/>
      <c r="I11" s="5"/>
      <c r="J11" s="6" t="n">
        <v>7</v>
      </c>
      <c r="K11" s="5" t="s">
        <v>336</v>
      </c>
      <c r="L11" s="5"/>
      <c r="M11" s="6" t="n">
        <v>64</v>
      </c>
      <c r="N11" s="6" t="n">
        <v>26</v>
      </c>
      <c r="O11" s="6" t="n">
        <v>67</v>
      </c>
      <c r="P11" s="5" t="s">
        <v>26</v>
      </c>
      <c r="Q11" s="5" t="s">
        <v>70</v>
      </c>
    </row>
    <row r="12" customFormat="false" ht="15" hidden="false" customHeight="false" outlineLevel="0" collapsed="false">
      <c r="A12" s="19" t="s">
        <v>287</v>
      </c>
      <c r="B12" s="5" t="s">
        <v>337</v>
      </c>
      <c r="C12" s="5" t="s">
        <v>338</v>
      </c>
      <c r="D12" s="5"/>
      <c r="E12" s="6" t="n">
        <v>0</v>
      </c>
      <c r="F12" s="9" t="n">
        <v>0</v>
      </c>
      <c r="G12" s="5"/>
      <c r="H12" s="5"/>
      <c r="I12" s="5"/>
      <c r="J12" s="6" t="n">
        <v>7</v>
      </c>
      <c r="K12" s="5" t="s">
        <v>339</v>
      </c>
      <c r="L12" s="5"/>
      <c r="M12" s="6" t="n">
        <v>128</v>
      </c>
      <c r="N12" s="6" t="n">
        <v>21</v>
      </c>
      <c r="O12" s="6" t="n">
        <v>43</v>
      </c>
      <c r="P12" s="5" t="s">
        <v>26</v>
      </c>
      <c r="Q12" s="5" t="s">
        <v>70</v>
      </c>
    </row>
    <row r="13" customFormat="false" ht="15" hidden="false" customHeight="false" outlineLevel="0" collapsed="false">
      <c r="A13" s="19" t="s">
        <v>287</v>
      </c>
      <c r="B13" s="5" t="s">
        <v>340</v>
      </c>
      <c r="C13" s="5" t="s">
        <v>341</v>
      </c>
      <c r="D13" s="5"/>
      <c r="E13" s="6" t="n">
        <v>0</v>
      </c>
      <c r="F13" s="9" t="n">
        <v>0</v>
      </c>
      <c r="G13" s="5"/>
      <c r="H13" s="5"/>
      <c r="I13" s="5"/>
      <c r="J13" s="6" t="n">
        <v>7</v>
      </c>
      <c r="K13" s="5" t="s">
        <v>342</v>
      </c>
      <c r="L13" s="5"/>
      <c r="M13" s="6" t="n">
        <v>128</v>
      </c>
      <c r="N13" s="6" t="n">
        <v>21</v>
      </c>
      <c r="O13" s="6" t="n">
        <v>65</v>
      </c>
      <c r="P13" s="5" t="s">
        <v>26</v>
      </c>
      <c r="Q13" s="5" t="s">
        <v>70</v>
      </c>
    </row>
    <row r="14" customFormat="false" ht="15" hidden="false" customHeight="false" outlineLevel="0" collapsed="false">
      <c r="A14" s="19" t="s">
        <v>287</v>
      </c>
      <c r="B14" s="5" t="s">
        <v>343</v>
      </c>
      <c r="C14" s="5" t="s">
        <v>344</v>
      </c>
      <c r="D14" s="5"/>
      <c r="E14" s="6" t="n">
        <v>0</v>
      </c>
      <c r="F14" s="9" t="n">
        <v>0</v>
      </c>
      <c r="G14" s="5"/>
      <c r="H14" s="5"/>
      <c r="I14" s="5"/>
      <c r="J14" s="6" t="n">
        <v>7</v>
      </c>
      <c r="K14" s="5" t="s">
        <v>345</v>
      </c>
      <c r="L14" s="5"/>
      <c r="M14" s="6" t="n">
        <v>128</v>
      </c>
      <c r="N14" s="6" t="n">
        <v>20</v>
      </c>
      <c r="O14" s="6" t="n">
        <v>86</v>
      </c>
      <c r="P14" s="5" t="s">
        <v>26</v>
      </c>
      <c r="Q14" s="5" t="s">
        <v>70</v>
      </c>
    </row>
    <row r="15" customFormat="false" ht="15" hidden="false" customHeight="false" outlineLevel="0" collapsed="false">
      <c r="A15" s="16" t="s">
        <v>270</v>
      </c>
      <c r="B15" s="5" t="s">
        <v>346</v>
      </c>
      <c r="C15" s="5" t="s">
        <v>347</v>
      </c>
      <c r="D15" s="5"/>
      <c r="E15" s="6" t="n">
        <v>0</v>
      </c>
      <c r="F15" s="9" t="n">
        <v>0</v>
      </c>
      <c r="G15" s="5"/>
      <c r="H15" s="5"/>
      <c r="I15" s="5"/>
      <c r="J15" s="6" t="n">
        <v>7</v>
      </c>
      <c r="K15" s="5" t="s">
        <v>348</v>
      </c>
      <c r="L15" s="5"/>
      <c r="M15" s="6" t="n">
        <v>64</v>
      </c>
      <c r="N15" s="6" t="n">
        <v>19</v>
      </c>
      <c r="O15" s="6" t="n">
        <v>51</v>
      </c>
      <c r="P15" s="5" t="s">
        <v>26</v>
      </c>
      <c r="Q15" s="5" t="s">
        <v>70</v>
      </c>
    </row>
    <row r="16" customFormat="false" ht="15" hidden="false" customHeight="false" outlineLevel="0" collapsed="false">
      <c r="A16" s="19" t="s">
        <v>287</v>
      </c>
      <c r="B16" s="5" t="s">
        <v>349</v>
      </c>
      <c r="C16" s="5" t="s">
        <v>350</v>
      </c>
      <c r="D16" s="5"/>
      <c r="E16" s="6" t="n">
        <v>0</v>
      </c>
      <c r="F16" s="9" t="n">
        <v>0</v>
      </c>
      <c r="G16" s="5"/>
      <c r="H16" s="5"/>
      <c r="I16" s="5"/>
      <c r="J16" s="6" t="n">
        <v>7</v>
      </c>
      <c r="K16" s="5" t="s">
        <v>351</v>
      </c>
      <c r="L16" s="5"/>
      <c r="M16" s="6" t="n">
        <v>64</v>
      </c>
      <c r="N16" s="6" t="n">
        <v>17</v>
      </c>
      <c r="O16" s="6" t="n">
        <v>24</v>
      </c>
      <c r="P16" s="5" t="s">
        <v>26</v>
      </c>
      <c r="Q16" s="5" t="s">
        <v>70</v>
      </c>
    </row>
    <row r="17" customFormat="false" ht="15" hidden="false" customHeight="false" outlineLevel="0" collapsed="false">
      <c r="A17" s="19" t="s">
        <v>287</v>
      </c>
      <c r="B17" s="5" t="s">
        <v>352</v>
      </c>
      <c r="C17" s="5" t="s">
        <v>353</v>
      </c>
      <c r="D17" s="5"/>
      <c r="E17" s="6" t="n">
        <v>0</v>
      </c>
      <c r="F17" s="9" t="n">
        <v>0</v>
      </c>
      <c r="G17" s="5"/>
      <c r="H17" s="5"/>
      <c r="I17" s="5"/>
      <c r="J17" s="6" t="n">
        <v>7</v>
      </c>
      <c r="K17" s="5" t="s">
        <v>354</v>
      </c>
      <c r="L17" s="5"/>
      <c r="M17" s="6" t="n">
        <v>64</v>
      </c>
      <c r="N17" s="6" t="n">
        <v>16</v>
      </c>
      <c r="O17" s="6" t="n">
        <v>79</v>
      </c>
      <c r="P17" s="5" t="s">
        <v>26</v>
      </c>
      <c r="Q17" s="5" t="s">
        <v>70</v>
      </c>
    </row>
    <row r="18" customFormat="false" ht="15" hidden="false" customHeight="false" outlineLevel="0" collapsed="false">
      <c r="A18" s="19" t="s">
        <v>287</v>
      </c>
      <c r="B18" s="5" t="s">
        <v>355</v>
      </c>
      <c r="C18" s="5" t="s">
        <v>356</v>
      </c>
      <c r="D18" s="5"/>
      <c r="E18" s="6" t="n">
        <v>0</v>
      </c>
      <c r="F18" s="9" t="n">
        <v>0</v>
      </c>
      <c r="G18" s="5"/>
      <c r="H18" s="5"/>
      <c r="I18" s="5"/>
      <c r="J18" s="6" t="n">
        <v>7</v>
      </c>
      <c r="K18" s="5" t="s">
        <v>357</v>
      </c>
      <c r="L18" s="5"/>
      <c r="M18" s="6" t="n">
        <v>128</v>
      </c>
      <c r="N18" s="6" t="n">
        <v>14</v>
      </c>
      <c r="O18" s="6" t="n">
        <v>41</v>
      </c>
      <c r="P18" s="5" t="s">
        <v>26</v>
      </c>
      <c r="Q18" s="5" t="s">
        <v>70</v>
      </c>
    </row>
    <row r="19" customFormat="false" ht="15" hidden="false" customHeight="false" outlineLevel="0" collapsed="false">
      <c r="A19" s="19" t="s">
        <v>287</v>
      </c>
      <c r="B19" s="5" t="s">
        <v>358</v>
      </c>
      <c r="C19" s="5" t="s">
        <v>359</v>
      </c>
      <c r="D19" s="5"/>
      <c r="E19" s="6" t="n">
        <v>0</v>
      </c>
      <c r="F19" s="9" t="n">
        <v>0</v>
      </c>
      <c r="G19" s="5"/>
      <c r="H19" s="5"/>
      <c r="I19" s="5"/>
      <c r="J19" s="6" t="n">
        <v>7</v>
      </c>
      <c r="K19" s="5" t="s">
        <v>360</v>
      </c>
      <c r="L19" s="5"/>
      <c r="M19" s="6" t="n">
        <v>128</v>
      </c>
      <c r="N19" s="6" t="n">
        <v>13</v>
      </c>
      <c r="O19" s="6" t="n">
        <v>35</v>
      </c>
      <c r="P19" s="5" t="s">
        <v>26</v>
      </c>
      <c r="Q19" s="5" t="s">
        <v>70</v>
      </c>
    </row>
    <row r="20" customFormat="false" ht="15" hidden="false" customHeight="false" outlineLevel="0" collapsed="false">
      <c r="A20" s="19" t="s">
        <v>287</v>
      </c>
      <c r="B20" s="5" t="s">
        <v>361</v>
      </c>
      <c r="C20" s="5" t="s">
        <v>362</v>
      </c>
      <c r="D20" s="5"/>
      <c r="E20" s="6" t="n">
        <v>0</v>
      </c>
      <c r="F20" s="9" t="n">
        <v>0</v>
      </c>
      <c r="G20" s="5"/>
      <c r="H20" s="5"/>
      <c r="I20" s="5"/>
      <c r="J20" s="6" t="n">
        <v>7</v>
      </c>
      <c r="K20" s="5" t="s">
        <v>363</v>
      </c>
      <c r="L20" s="5"/>
      <c r="M20" s="6" t="n">
        <v>64</v>
      </c>
      <c r="N20" s="6" t="n">
        <v>12</v>
      </c>
      <c r="O20" s="6" t="n">
        <v>26</v>
      </c>
      <c r="P20" s="5" t="s">
        <v>26</v>
      </c>
      <c r="Q20" s="5" t="s">
        <v>70</v>
      </c>
    </row>
    <row r="21" customFormat="false" ht="15" hidden="false" customHeight="false" outlineLevel="0" collapsed="false">
      <c r="A21" s="19" t="s">
        <v>287</v>
      </c>
      <c r="B21" s="5" t="s">
        <v>364</v>
      </c>
      <c r="C21" s="5" t="s">
        <v>365</v>
      </c>
      <c r="D21" s="5"/>
      <c r="E21" s="6" t="n">
        <v>0</v>
      </c>
      <c r="F21" s="9" t="n">
        <v>0</v>
      </c>
      <c r="G21" s="5"/>
      <c r="H21" s="5"/>
      <c r="I21" s="5"/>
      <c r="J21" s="6" t="n">
        <v>7</v>
      </c>
      <c r="K21" s="5" t="s">
        <v>366</v>
      </c>
      <c r="L21" s="5"/>
      <c r="M21" s="6" t="n">
        <v>64</v>
      </c>
      <c r="N21" s="6" t="n">
        <v>9</v>
      </c>
      <c r="O21" s="6" t="n">
        <v>10</v>
      </c>
      <c r="P21" s="5" t="s">
        <v>26</v>
      </c>
      <c r="Q21" s="5" t="s">
        <v>70</v>
      </c>
    </row>
    <row r="22" customFormat="false" ht="15" hidden="false" customHeight="false" outlineLevel="0" collapsed="false">
      <c r="A22" s="15" t="s">
        <v>226</v>
      </c>
      <c r="B22" s="5" t="s">
        <v>367</v>
      </c>
      <c r="C22" s="5" t="s">
        <v>368</v>
      </c>
      <c r="D22" s="5"/>
      <c r="E22" s="6" t="n">
        <v>0</v>
      </c>
      <c r="F22" s="9" t="n">
        <v>0</v>
      </c>
      <c r="G22" s="5"/>
      <c r="H22" s="5"/>
      <c r="I22" s="5"/>
      <c r="J22" s="6" t="n">
        <v>7</v>
      </c>
      <c r="K22" s="5" t="s">
        <v>369</v>
      </c>
      <c r="L22" s="5" t="s">
        <v>261</v>
      </c>
      <c r="M22" s="6" t="n">
        <v>64</v>
      </c>
      <c r="N22" s="6" t="n">
        <v>9</v>
      </c>
      <c r="O22" s="6" t="n">
        <v>21</v>
      </c>
      <c r="P22" s="5" t="s">
        <v>26</v>
      </c>
      <c r="Q22" s="5" t="s">
        <v>70</v>
      </c>
    </row>
    <row r="23" customFormat="false" ht="15" hidden="false" customHeight="false" outlineLevel="0" collapsed="false">
      <c r="A23" s="19" t="s">
        <v>287</v>
      </c>
      <c r="B23" s="5" t="s">
        <v>370</v>
      </c>
      <c r="C23" s="5" t="s">
        <v>371</v>
      </c>
      <c r="D23" s="5"/>
      <c r="E23" s="6" t="n">
        <v>0</v>
      </c>
      <c r="F23" s="9" t="n">
        <v>0</v>
      </c>
      <c r="G23" s="5"/>
      <c r="H23" s="5"/>
      <c r="I23" s="5"/>
      <c r="J23" s="6" t="n">
        <v>7</v>
      </c>
      <c r="K23" s="5" t="s">
        <v>372</v>
      </c>
      <c r="L23" s="5"/>
      <c r="M23" s="6" t="n">
        <v>64</v>
      </c>
      <c r="N23" s="6" t="n">
        <v>8</v>
      </c>
      <c r="O23" s="6" t="n">
        <v>4</v>
      </c>
      <c r="P23" s="5" t="s">
        <v>26</v>
      </c>
      <c r="Q23" s="5" t="s">
        <v>70</v>
      </c>
    </row>
    <row r="24" customFormat="false" ht="15" hidden="false" customHeight="false" outlineLevel="0" collapsed="false">
      <c r="A24" s="19" t="s">
        <v>287</v>
      </c>
      <c r="B24" s="5" t="s">
        <v>373</v>
      </c>
      <c r="C24" s="5" t="s">
        <v>374</v>
      </c>
      <c r="D24" s="5"/>
      <c r="E24" s="6" t="n">
        <v>0</v>
      </c>
      <c r="F24" s="9" t="n">
        <v>0</v>
      </c>
      <c r="G24" s="5"/>
      <c r="H24" s="5"/>
      <c r="I24" s="5"/>
      <c r="J24" s="6" t="n">
        <v>7</v>
      </c>
      <c r="K24" s="5" t="s">
        <v>375</v>
      </c>
      <c r="L24" s="5"/>
      <c r="M24" s="6" t="n">
        <v>128</v>
      </c>
      <c r="N24" s="6" t="n">
        <v>8</v>
      </c>
      <c r="O24" s="6" t="n">
        <v>12</v>
      </c>
      <c r="P24" s="5" t="s">
        <v>26</v>
      </c>
      <c r="Q24" s="5" t="s">
        <v>70</v>
      </c>
    </row>
    <row r="25" customFormat="false" ht="15" hidden="false" customHeight="false" outlineLevel="0" collapsed="false">
      <c r="A25" s="19" t="s">
        <v>287</v>
      </c>
      <c r="B25" s="5" t="s">
        <v>376</v>
      </c>
      <c r="C25" s="5" t="s">
        <v>377</v>
      </c>
      <c r="D25" s="5"/>
      <c r="E25" s="6" t="n">
        <v>0</v>
      </c>
      <c r="F25" s="9" t="n">
        <v>0</v>
      </c>
      <c r="G25" s="5"/>
      <c r="H25" s="5"/>
      <c r="I25" s="5"/>
      <c r="J25" s="6" t="n">
        <v>2</v>
      </c>
      <c r="K25" s="5" t="s">
        <v>378</v>
      </c>
      <c r="L25" s="5"/>
      <c r="M25" s="6" t="n">
        <v>256</v>
      </c>
      <c r="N25" s="6" t="n">
        <v>8</v>
      </c>
      <c r="O25" s="6" t="n">
        <v>2</v>
      </c>
      <c r="P25" s="5" t="s">
        <v>26</v>
      </c>
      <c r="Q25" s="5" t="s">
        <v>70</v>
      </c>
    </row>
    <row r="26" customFormat="false" ht="15" hidden="false" customHeight="false" outlineLevel="0" collapsed="false">
      <c r="A26" s="19" t="s">
        <v>287</v>
      </c>
      <c r="B26" s="5" t="s">
        <v>379</v>
      </c>
      <c r="C26" s="5" t="s">
        <v>380</v>
      </c>
      <c r="D26" s="5"/>
      <c r="E26" s="6" t="n">
        <v>0</v>
      </c>
      <c r="F26" s="9" t="n">
        <v>0</v>
      </c>
      <c r="G26" s="5"/>
      <c r="H26" s="5"/>
      <c r="I26" s="5"/>
      <c r="J26" s="6" t="n">
        <v>7</v>
      </c>
      <c r="K26" s="5" t="s">
        <v>381</v>
      </c>
      <c r="L26" s="5"/>
      <c r="M26" s="6" t="n">
        <v>64</v>
      </c>
      <c r="N26" s="6" t="n">
        <v>5</v>
      </c>
      <c r="O26" s="6" t="n">
        <v>2</v>
      </c>
      <c r="P26" s="5" t="s">
        <v>26</v>
      </c>
      <c r="Q26" s="5" t="s">
        <v>70</v>
      </c>
    </row>
    <row r="27" customFormat="false" ht="15" hidden="false" customHeight="false" outlineLevel="0" collapsed="false">
      <c r="A27" s="19" t="s">
        <v>287</v>
      </c>
      <c r="B27" s="5" t="s">
        <v>382</v>
      </c>
      <c r="C27" s="5" t="s">
        <v>383</v>
      </c>
      <c r="D27" s="5"/>
      <c r="E27" s="6" t="n">
        <v>0</v>
      </c>
      <c r="F27" s="9" t="n">
        <v>0</v>
      </c>
      <c r="G27" s="5"/>
      <c r="H27" s="5"/>
      <c r="I27" s="5"/>
      <c r="J27" s="6" t="n">
        <v>2</v>
      </c>
      <c r="K27" s="5" t="s">
        <v>384</v>
      </c>
      <c r="L27" s="5"/>
      <c r="M27" s="6" t="n">
        <v>256</v>
      </c>
      <c r="N27" s="6" t="n">
        <v>5</v>
      </c>
      <c r="O27" s="6" t="n">
        <v>28</v>
      </c>
      <c r="P27" s="5" t="s">
        <v>26</v>
      </c>
      <c r="Q27" s="5" t="s">
        <v>70</v>
      </c>
    </row>
    <row r="28" customFormat="false" ht="15" hidden="false" customHeight="false" outlineLevel="0" collapsed="false">
      <c r="A28" s="19" t="s">
        <v>287</v>
      </c>
      <c r="B28" s="5" t="s">
        <v>385</v>
      </c>
      <c r="C28" s="5" t="s">
        <v>386</v>
      </c>
      <c r="D28" s="5"/>
      <c r="E28" s="6" t="n">
        <v>0</v>
      </c>
      <c r="F28" s="9" t="n">
        <v>0</v>
      </c>
      <c r="G28" s="5"/>
      <c r="H28" s="5"/>
      <c r="I28" s="5"/>
      <c r="J28" s="6" t="n">
        <v>2</v>
      </c>
      <c r="K28" s="5" t="s">
        <v>387</v>
      </c>
      <c r="L28" s="5"/>
      <c r="M28" s="6" t="n">
        <v>256</v>
      </c>
      <c r="N28" s="6" t="n">
        <v>5</v>
      </c>
      <c r="O28" s="6" t="n">
        <v>2</v>
      </c>
      <c r="P28" s="5" t="s">
        <v>26</v>
      </c>
      <c r="Q28" s="5" t="s">
        <v>70</v>
      </c>
    </row>
    <row r="29" customFormat="false" ht="15" hidden="false" customHeight="false" outlineLevel="0" collapsed="false">
      <c r="A29" s="19" t="s">
        <v>287</v>
      </c>
      <c r="B29" s="5" t="s">
        <v>388</v>
      </c>
      <c r="C29" s="5" t="s">
        <v>389</v>
      </c>
      <c r="D29" s="5"/>
      <c r="E29" s="6" t="n">
        <v>0</v>
      </c>
      <c r="F29" s="9" t="n">
        <v>0</v>
      </c>
      <c r="G29" s="5"/>
      <c r="H29" s="5"/>
      <c r="I29" s="5"/>
      <c r="J29" s="6" t="n">
        <v>7</v>
      </c>
      <c r="K29" s="5" t="s">
        <v>390</v>
      </c>
      <c r="L29" s="5"/>
      <c r="M29" s="6" t="n">
        <v>64</v>
      </c>
      <c r="N29" s="6" t="n">
        <v>4</v>
      </c>
      <c r="O29" s="6" t="n">
        <v>8</v>
      </c>
      <c r="P29" s="5" t="s">
        <v>26</v>
      </c>
      <c r="Q29" s="5" t="s">
        <v>70</v>
      </c>
    </row>
    <row r="30" customFormat="false" ht="15" hidden="false" customHeight="false" outlineLevel="0" collapsed="false">
      <c r="A30" s="19" t="s">
        <v>287</v>
      </c>
      <c r="B30" s="5" t="s">
        <v>391</v>
      </c>
      <c r="C30" s="5" t="s">
        <v>392</v>
      </c>
      <c r="D30" s="5"/>
      <c r="E30" s="6" t="n">
        <v>0</v>
      </c>
      <c r="F30" s="9" t="n">
        <v>0</v>
      </c>
      <c r="G30" s="5"/>
      <c r="H30" s="5"/>
      <c r="I30" s="5"/>
      <c r="J30" s="6" t="n">
        <v>1</v>
      </c>
      <c r="K30" s="5" t="s">
        <v>393</v>
      </c>
      <c r="L30" s="5"/>
      <c r="M30" s="6" t="n">
        <v>256</v>
      </c>
      <c r="N30" s="6" t="n">
        <v>4</v>
      </c>
      <c r="O30" s="6" t="n">
        <v>16</v>
      </c>
      <c r="P30" s="5" t="s">
        <v>26</v>
      </c>
      <c r="Q30" s="5" t="s">
        <v>70</v>
      </c>
    </row>
    <row r="31" customFormat="false" ht="15" hidden="false" customHeight="false" outlineLevel="0" collapsed="false">
      <c r="A31" s="19" t="s">
        <v>287</v>
      </c>
      <c r="B31" s="5" t="s">
        <v>394</v>
      </c>
      <c r="C31" s="5" t="s">
        <v>395</v>
      </c>
      <c r="D31" s="5"/>
      <c r="E31" s="6" t="n">
        <v>0</v>
      </c>
      <c r="F31" s="9" t="n">
        <v>0</v>
      </c>
      <c r="G31" s="5"/>
      <c r="H31" s="5"/>
      <c r="I31" s="5"/>
      <c r="J31" s="6" t="n">
        <v>2</v>
      </c>
      <c r="K31" s="5" t="s">
        <v>396</v>
      </c>
      <c r="L31" s="5"/>
      <c r="M31" s="6" t="n">
        <v>128</v>
      </c>
      <c r="N31" s="6" t="n">
        <v>4</v>
      </c>
      <c r="O31" s="6" t="n">
        <v>10</v>
      </c>
      <c r="P31" s="5" t="s">
        <v>26</v>
      </c>
      <c r="Q31" s="5" t="s">
        <v>70</v>
      </c>
    </row>
    <row r="32" customFormat="false" ht="15" hidden="false" customHeight="false" outlineLevel="0" collapsed="false">
      <c r="A32" s="19" t="s">
        <v>287</v>
      </c>
      <c r="B32" s="5" t="s">
        <v>397</v>
      </c>
      <c r="C32" s="5" t="s">
        <v>398</v>
      </c>
      <c r="D32" s="5"/>
      <c r="E32" s="6" t="n">
        <v>0</v>
      </c>
      <c r="F32" s="9" t="n">
        <v>0</v>
      </c>
      <c r="G32" s="5"/>
      <c r="H32" s="5"/>
      <c r="I32" s="5"/>
      <c r="J32" s="6" t="n">
        <v>2</v>
      </c>
      <c r="K32" s="5" t="s">
        <v>399</v>
      </c>
      <c r="L32" s="5"/>
      <c r="M32" s="6" t="n">
        <v>256</v>
      </c>
      <c r="N32" s="6" t="n">
        <v>4</v>
      </c>
      <c r="O32" s="6" t="n">
        <v>0</v>
      </c>
      <c r="P32" s="5" t="s">
        <v>26</v>
      </c>
      <c r="Q32" s="5" t="s">
        <v>70</v>
      </c>
    </row>
    <row r="33" customFormat="false" ht="15" hidden="false" customHeight="false" outlineLevel="0" collapsed="false">
      <c r="A33" s="19" t="s">
        <v>287</v>
      </c>
      <c r="B33" s="5" t="s">
        <v>400</v>
      </c>
      <c r="C33" s="5" t="s">
        <v>401</v>
      </c>
      <c r="D33" s="5"/>
      <c r="E33" s="6" t="n">
        <v>0</v>
      </c>
      <c r="F33" s="9" t="n">
        <v>0</v>
      </c>
      <c r="G33" s="5"/>
      <c r="H33" s="5"/>
      <c r="I33" s="5"/>
      <c r="J33" s="6" t="n">
        <v>7</v>
      </c>
      <c r="K33" s="5" t="s">
        <v>402</v>
      </c>
      <c r="L33" s="5"/>
      <c r="M33" s="6" t="n">
        <v>64</v>
      </c>
      <c r="N33" s="6" t="n">
        <v>3</v>
      </c>
      <c r="O33" s="6" t="n">
        <v>2</v>
      </c>
      <c r="P33" s="5" t="s">
        <v>26</v>
      </c>
      <c r="Q33" s="5" t="s">
        <v>70</v>
      </c>
    </row>
    <row r="34" customFormat="false" ht="15" hidden="false" customHeight="false" outlineLevel="0" collapsed="false">
      <c r="A34" s="19" t="s">
        <v>287</v>
      </c>
      <c r="B34" s="5" t="s">
        <v>403</v>
      </c>
      <c r="C34" s="5" t="s">
        <v>404</v>
      </c>
      <c r="D34" s="5"/>
      <c r="E34" s="6" t="n">
        <v>0</v>
      </c>
      <c r="F34" s="9" t="n">
        <v>0</v>
      </c>
      <c r="G34" s="5"/>
      <c r="H34" s="5"/>
      <c r="I34" s="5"/>
      <c r="J34" s="6" t="n">
        <v>7</v>
      </c>
      <c r="K34" s="5" t="s">
        <v>405</v>
      </c>
      <c r="L34" s="5"/>
      <c r="M34" s="6" t="n">
        <v>64</v>
      </c>
      <c r="N34" s="6" t="n">
        <v>3</v>
      </c>
      <c r="O34" s="6" t="n">
        <v>6</v>
      </c>
      <c r="P34" s="5" t="s">
        <v>26</v>
      </c>
      <c r="Q34" s="5" t="s">
        <v>70</v>
      </c>
    </row>
    <row r="35" customFormat="false" ht="15" hidden="false" customHeight="false" outlineLevel="0" collapsed="false">
      <c r="A35" s="19" t="s">
        <v>287</v>
      </c>
      <c r="B35" s="5" t="s">
        <v>406</v>
      </c>
      <c r="C35" s="5" t="s">
        <v>407</v>
      </c>
      <c r="D35" s="5"/>
      <c r="E35" s="6" t="n">
        <v>0</v>
      </c>
      <c r="F35" s="9" t="n">
        <v>0</v>
      </c>
      <c r="G35" s="5"/>
      <c r="H35" s="5"/>
      <c r="I35" s="5"/>
      <c r="J35" s="6" t="n">
        <v>7</v>
      </c>
      <c r="K35" s="5" t="s">
        <v>408</v>
      </c>
      <c r="L35" s="5"/>
      <c r="M35" s="6" t="n">
        <v>64</v>
      </c>
      <c r="N35" s="6" t="n">
        <v>3</v>
      </c>
      <c r="O35" s="6" t="n">
        <v>1</v>
      </c>
      <c r="P35" s="5" t="s">
        <v>26</v>
      </c>
      <c r="Q35" s="5" t="s">
        <v>70</v>
      </c>
    </row>
    <row r="36" customFormat="false" ht="15" hidden="false" customHeight="false" outlineLevel="0" collapsed="false">
      <c r="A36" s="19" t="s">
        <v>287</v>
      </c>
      <c r="B36" s="5" t="s">
        <v>409</v>
      </c>
      <c r="C36" s="5" t="s">
        <v>410</v>
      </c>
      <c r="D36" s="5"/>
      <c r="E36" s="6" t="n">
        <v>0</v>
      </c>
      <c r="F36" s="9" t="n">
        <v>0</v>
      </c>
      <c r="G36" s="5"/>
      <c r="H36" s="5"/>
      <c r="I36" s="5"/>
      <c r="J36" s="6" t="n">
        <v>7</v>
      </c>
      <c r="K36" s="5" t="s">
        <v>411</v>
      </c>
      <c r="L36" s="5"/>
      <c r="M36" s="6" t="n">
        <v>64</v>
      </c>
      <c r="N36" s="6" t="n">
        <v>3</v>
      </c>
      <c r="O36" s="6" t="n">
        <v>25</v>
      </c>
      <c r="P36" s="5" t="s">
        <v>26</v>
      </c>
      <c r="Q36" s="5" t="s">
        <v>70</v>
      </c>
    </row>
    <row r="37" customFormat="false" ht="15" hidden="false" customHeight="false" outlineLevel="0" collapsed="false">
      <c r="A37" s="15" t="s">
        <v>226</v>
      </c>
      <c r="B37" s="5" t="s">
        <v>412</v>
      </c>
      <c r="C37" s="5" t="s">
        <v>413</v>
      </c>
      <c r="D37" s="5"/>
      <c r="E37" s="6" t="n">
        <v>0</v>
      </c>
      <c r="F37" s="9" t="n">
        <v>0</v>
      </c>
      <c r="G37" s="5"/>
      <c r="H37" s="5"/>
      <c r="I37" s="5"/>
      <c r="J37" s="6" t="n">
        <v>7</v>
      </c>
      <c r="K37" s="5" t="s">
        <v>414</v>
      </c>
      <c r="L37" s="5" t="s">
        <v>261</v>
      </c>
      <c r="M37" s="6" t="n">
        <v>64</v>
      </c>
      <c r="N37" s="6" t="n">
        <v>2</v>
      </c>
      <c r="O37" s="6" t="n">
        <v>0</v>
      </c>
      <c r="P37" s="5" t="s">
        <v>26</v>
      </c>
      <c r="Q37" s="5" t="s">
        <v>70</v>
      </c>
    </row>
    <row r="38" customFormat="false" ht="15" hidden="false" customHeight="false" outlineLevel="0" collapsed="false">
      <c r="A38" s="19" t="s">
        <v>287</v>
      </c>
      <c r="B38" s="5" t="s">
        <v>415</v>
      </c>
      <c r="C38" s="5" t="s">
        <v>416</v>
      </c>
      <c r="D38" s="5"/>
      <c r="E38" s="6" t="n">
        <v>0</v>
      </c>
      <c r="F38" s="9" t="n">
        <v>0</v>
      </c>
      <c r="G38" s="5"/>
      <c r="H38" s="5"/>
      <c r="I38" s="5"/>
      <c r="J38" s="6" t="n">
        <v>7</v>
      </c>
      <c r="K38" s="5" t="s">
        <v>417</v>
      </c>
      <c r="L38" s="5"/>
      <c r="M38" s="6" t="n">
        <v>64</v>
      </c>
      <c r="N38" s="6" t="n">
        <v>2</v>
      </c>
      <c r="O38" s="6" t="n">
        <v>10</v>
      </c>
      <c r="P38" s="5" t="s">
        <v>26</v>
      </c>
      <c r="Q38" s="5" t="s">
        <v>70</v>
      </c>
    </row>
    <row r="39" customFormat="false" ht="15" hidden="false" customHeight="false" outlineLevel="0" collapsed="false">
      <c r="A39" s="19" t="s">
        <v>287</v>
      </c>
      <c r="B39" s="5" t="s">
        <v>418</v>
      </c>
      <c r="C39" s="5" t="s">
        <v>419</v>
      </c>
      <c r="D39" s="5"/>
      <c r="E39" s="6" t="n">
        <v>0</v>
      </c>
      <c r="F39" s="9" t="n">
        <v>0</v>
      </c>
      <c r="G39" s="5"/>
      <c r="H39" s="5"/>
      <c r="I39" s="5"/>
      <c r="J39" s="6" t="n">
        <v>7</v>
      </c>
      <c r="K39" s="5" t="s">
        <v>420</v>
      </c>
      <c r="L39" s="5"/>
      <c r="M39" s="6" t="n">
        <v>64</v>
      </c>
      <c r="N39" s="6" t="n">
        <v>2</v>
      </c>
      <c r="O39" s="6" t="n">
        <v>10</v>
      </c>
      <c r="P39" s="5" t="s">
        <v>26</v>
      </c>
      <c r="Q39" s="5" t="s">
        <v>70</v>
      </c>
    </row>
    <row r="40" customFormat="false" ht="15" hidden="false" customHeight="false" outlineLevel="0" collapsed="false">
      <c r="A40" s="19" t="s">
        <v>287</v>
      </c>
      <c r="B40" s="5" t="s">
        <v>421</v>
      </c>
      <c r="C40" s="5" t="s">
        <v>422</v>
      </c>
      <c r="D40" s="5"/>
      <c r="E40" s="6" t="n">
        <v>0</v>
      </c>
      <c r="F40" s="9" t="n">
        <v>0</v>
      </c>
      <c r="G40" s="5"/>
      <c r="H40" s="5"/>
      <c r="I40" s="5"/>
      <c r="J40" s="6" t="n">
        <v>2</v>
      </c>
      <c r="K40" s="5" t="s">
        <v>423</v>
      </c>
      <c r="L40" s="5"/>
      <c r="M40" s="6" t="n">
        <v>256</v>
      </c>
      <c r="N40" s="6" t="n">
        <v>2</v>
      </c>
      <c r="O40" s="6" t="n">
        <v>1</v>
      </c>
      <c r="P40" s="5" t="s">
        <v>26</v>
      </c>
      <c r="Q40" s="5" t="s">
        <v>70</v>
      </c>
    </row>
    <row r="41" customFormat="false" ht="15" hidden="false" customHeight="false" outlineLevel="0" collapsed="false">
      <c r="A41" s="19" t="s">
        <v>287</v>
      </c>
      <c r="B41" s="5" t="s">
        <v>424</v>
      </c>
      <c r="C41" s="5" t="s">
        <v>425</v>
      </c>
      <c r="D41" s="5"/>
      <c r="E41" s="6" t="n">
        <v>0</v>
      </c>
      <c r="F41" s="9" t="n">
        <v>0</v>
      </c>
      <c r="G41" s="5"/>
      <c r="H41" s="5"/>
      <c r="I41" s="5"/>
      <c r="J41" s="6" t="n">
        <v>2</v>
      </c>
      <c r="K41" s="5" t="s">
        <v>426</v>
      </c>
      <c r="L41" s="5"/>
      <c r="M41" s="6" t="n">
        <v>256</v>
      </c>
      <c r="N41" s="6" t="n">
        <v>2</v>
      </c>
      <c r="O41" s="6" t="n">
        <v>16</v>
      </c>
      <c r="P41" s="5" t="s">
        <v>26</v>
      </c>
      <c r="Q41" s="5" t="s">
        <v>70</v>
      </c>
    </row>
    <row r="42" customFormat="false" ht="15" hidden="false" customHeight="false" outlineLevel="0" collapsed="false">
      <c r="A42" s="19" t="s">
        <v>287</v>
      </c>
      <c r="B42" s="5" t="s">
        <v>427</v>
      </c>
      <c r="C42" s="5" t="s">
        <v>428</v>
      </c>
      <c r="D42" s="5"/>
      <c r="E42" s="6" t="n">
        <v>0</v>
      </c>
      <c r="F42" s="9" t="n">
        <v>0</v>
      </c>
      <c r="G42" s="5"/>
      <c r="H42" s="5"/>
      <c r="I42" s="5"/>
      <c r="J42" s="6" t="n">
        <v>2</v>
      </c>
      <c r="K42" s="5" t="s">
        <v>429</v>
      </c>
      <c r="L42" s="5"/>
      <c r="M42" s="6" t="n">
        <v>256</v>
      </c>
      <c r="N42" s="6" t="n">
        <v>2</v>
      </c>
      <c r="O42" s="6" t="n">
        <v>6</v>
      </c>
      <c r="P42" s="5" t="s">
        <v>26</v>
      </c>
      <c r="Q42" s="5" t="s">
        <v>70</v>
      </c>
    </row>
    <row r="43" customFormat="false" ht="15" hidden="false" customHeight="false" outlineLevel="0" collapsed="false">
      <c r="A43" s="19" t="s">
        <v>287</v>
      </c>
      <c r="B43" s="5" t="s">
        <v>430</v>
      </c>
      <c r="C43" s="5" t="s">
        <v>431</v>
      </c>
      <c r="D43" s="5"/>
      <c r="E43" s="6" t="n">
        <v>0</v>
      </c>
      <c r="F43" s="9" t="n">
        <v>0</v>
      </c>
      <c r="G43" s="5"/>
      <c r="H43" s="5"/>
      <c r="I43" s="5"/>
      <c r="J43" s="6" t="n">
        <v>1</v>
      </c>
      <c r="K43" s="5" t="s">
        <v>432</v>
      </c>
      <c r="L43" s="5"/>
      <c r="M43" s="6" t="n">
        <v>256</v>
      </c>
      <c r="N43" s="6" t="n">
        <v>2</v>
      </c>
      <c r="O43" s="6" t="n">
        <v>10</v>
      </c>
      <c r="P43" s="5" t="s">
        <v>26</v>
      </c>
      <c r="Q43" s="5" t="s">
        <v>70</v>
      </c>
    </row>
    <row r="44" customFormat="false" ht="15" hidden="false" customHeight="false" outlineLevel="0" collapsed="false">
      <c r="A44" s="16" t="s">
        <v>270</v>
      </c>
      <c r="B44" s="5" t="s">
        <v>433</v>
      </c>
      <c r="C44" s="5" t="s">
        <v>434</v>
      </c>
      <c r="D44" s="5"/>
      <c r="E44" s="6" t="n">
        <v>0</v>
      </c>
      <c r="F44" s="9" t="n">
        <v>0</v>
      </c>
      <c r="G44" s="5"/>
      <c r="H44" s="5"/>
      <c r="I44" s="5"/>
      <c r="J44" s="6" t="n">
        <v>2</v>
      </c>
      <c r="K44" s="5" t="s">
        <v>435</v>
      </c>
      <c r="L44" s="5"/>
      <c r="M44" s="6" t="n">
        <v>128</v>
      </c>
      <c r="N44" s="6" t="n">
        <v>2</v>
      </c>
      <c r="O44" s="6" t="n">
        <v>1</v>
      </c>
      <c r="P44" s="5" t="s">
        <v>26</v>
      </c>
      <c r="Q44" s="5" t="s">
        <v>70</v>
      </c>
    </row>
    <row r="45" customFormat="false" ht="15" hidden="false" customHeight="false" outlineLevel="0" collapsed="false">
      <c r="A45" s="19" t="s">
        <v>287</v>
      </c>
      <c r="B45" s="5" t="s">
        <v>436</v>
      </c>
      <c r="C45" s="5" t="s">
        <v>437</v>
      </c>
      <c r="D45" s="5"/>
      <c r="E45" s="6" t="n">
        <v>0</v>
      </c>
      <c r="F45" s="9" t="n">
        <v>0</v>
      </c>
      <c r="G45" s="5"/>
      <c r="H45" s="5"/>
      <c r="I45" s="5"/>
      <c r="J45" s="6" t="n">
        <v>0</v>
      </c>
      <c r="K45" s="5"/>
      <c r="L45" s="5"/>
      <c r="M45" s="6" t="n">
        <v>64</v>
      </c>
      <c r="N45" s="6" t="n">
        <v>1</v>
      </c>
      <c r="O45" s="6" t="n">
        <v>1</v>
      </c>
      <c r="P45" s="5" t="s">
        <v>26</v>
      </c>
      <c r="Q45" s="5" t="s">
        <v>70</v>
      </c>
    </row>
    <row r="46" customFormat="false" ht="15" hidden="false" customHeight="false" outlineLevel="0" collapsed="false">
      <c r="A46" s="19" t="s">
        <v>287</v>
      </c>
      <c r="B46" s="5" t="s">
        <v>438</v>
      </c>
      <c r="C46" s="5" t="s">
        <v>439</v>
      </c>
      <c r="D46" s="5"/>
      <c r="E46" s="6" t="n">
        <v>0</v>
      </c>
      <c r="F46" s="9" t="n">
        <v>0</v>
      </c>
      <c r="G46" s="5"/>
      <c r="H46" s="5"/>
      <c r="I46" s="5"/>
      <c r="J46" s="6" t="n">
        <v>0</v>
      </c>
      <c r="K46" s="5"/>
      <c r="L46" s="5"/>
      <c r="M46" s="6" t="n">
        <v>64</v>
      </c>
      <c r="N46" s="6" t="n">
        <v>1</v>
      </c>
      <c r="O46" s="6" t="n">
        <v>3</v>
      </c>
      <c r="P46" s="5" t="s">
        <v>26</v>
      </c>
      <c r="Q46" s="5" t="s">
        <v>70</v>
      </c>
    </row>
    <row r="47" customFormat="false" ht="15" hidden="false" customHeight="false" outlineLevel="0" collapsed="false">
      <c r="A47" s="19" t="s">
        <v>287</v>
      </c>
      <c r="B47" s="5" t="s">
        <v>440</v>
      </c>
      <c r="C47" s="5" t="s">
        <v>441</v>
      </c>
      <c r="D47" s="5"/>
      <c r="E47" s="6" t="n">
        <v>0</v>
      </c>
      <c r="F47" s="9" t="n">
        <v>0</v>
      </c>
      <c r="G47" s="5"/>
      <c r="H47" s="5"/>
      <c r="I47" s="5"/>
      <c r="J47" s="6" t="n">
        <v>0</v>
      </c>
      <c r="K47" s="5"/>
      <c r="L47" s="5"/>
      <c r="M47" s="6" t="n">
        <v>128</v>
      </c>
      <c r="N47" s="6" t="n">
        <v>1</v>
      </c>
      <c r="O47" s="6" t="n">
        <v>1</v>
      </c>
      <c r="P47" s="5" t="s">
        <v>26</v>
      </c>
      <c r="Q47" s="5" t="s">
        <v>70</v>
      </c>
    </row>
    <row r="48" customFormat="false" ht="15" hidden="false" customHeight="false" outlineLevel="0" collapsed="false">
      <c r="A48" s="19" t="s">
        <v>287</v>
      </c>
      <c r="B48" s="5" t="s">
        <v>442</v>
      </c>
      <c r="C48" s="5" t="s">
        <v>443</v>
      </c>
      <c r="D48" s="5"/>
      <c r="E48" s="6" t="n">
        <v>0</v>
      </c>
      <c r="F48" s="9" t="n">
        <v>0</v>
      </c>
      <c r="G48" s="5"/>
      <c r="H48" s="5"/>
      <c r="I48" s="5"/>
      <c r="J48" s="6" t="n">
        <v>0</v>
      </c>
      <c r="K48" s="5"/>
      <c r="L48" s="5"/>
      <c r="M48" s="6" t="n">
        <v>64</v>
      </c>
      <c r="N48" s="6" t="n">
        <v>1</v>
      </c>
      <c r="O48" s="6" t="n">
        <v>0</v>
      </c>
      <c r="P48" s="5" t="s">
        <v>26</v>
      </c>
      <c r="Q48" s="5" t="s">
        <v>70</v>
      </c>
    </row>
    <row r="49" customFormat="false" ht="15" hidden="false" customHeight="false" outlineLevel="0" collapsed="false">
      <c r="A49" s="16" t="s">
        <v>270</v>
      </c>
      <c r="B49" s="5" t="s">
        <v>444</v>
      </c>
      <c r="C49" s="5" t="s">
        <v>445</v>
      </c>
      <c r="D49" s="5"/>
      <c r="E49" s="6" t="n">
        <v>0</v>
      </c>
      <c r="F49" s="9" t="n">
        <v>0</v>
      </c>
      <c r="G49" s="5"/>
      <c r="H49" s="5"/>
      <c r="I49" s="5"/>
      <c r="J49" s="6" t="n">
        <v>0</v>
      </c>
      <c r="K49" s="5"/>
      <c r="L49" s="5"/>
      <c r="M49" s="6" t="n">
        <v>128</v>
      </c>
      <c r="N49" s="6" t="n">
        <v>1</v>
      </c>
      <c r="O49" s="6" t="n">
        <v>0</v>
      </c>
      <c r="P49" s="5" t="s">
        <v>26</v>
      </c>
      <c r="Q49" s="5" t="s">
        <v>70</v>
      </c>
    </row>
    <row r="50" customFormat="false" ht="15" hidden="false" customHeight="false" outlineLevel="0" collapsed="false">
      <c r="A50" s="19" t="s">
        <v>287</v>
      </c>
      <c r="B50" s="5" t="s">
        <v>446</v>
      </c>
      <c r="C50" s="5" t="s">
        <v>447</v>
      </c>
      <c r="D50" s="5"/>
      <c r="E50" s="6" t="n">
        <v>0</v>
      </c>
      <c r="F50" s="9" t="n">
        <v>0</v>
      </c>
      <c r="G50" s="5"/>
      <c r="H50" s="5"/>
      <c r="I50" s="5"/>
      <c r="J50" s="6" t="n">
        <v>0</v>
      </c>
      <c r="K50" s="5"/>
      <c r="L50" s="5"/>
      <c r="M50" s="6" t="n">
        <v>128</v>
      </c>
      <c r="N50" s="6" t="n">
        <v>1</v>
      </c>
      <c r="O50" s="6" t="n">
        <v>1</v>
      </c>
      <c r="P50" s="5" t="s">
        <v>26</v>
      </c>
      <c r="Q50" s="5" t="s">
        <v>70</v>
      </c>
    </row>
    <row r="51" customFormat="false" ht="15" hidden="false" customHeight="false" outlineLevel="0" collapsed="false">
      <c r="A51" s="19" t="s">
        <v>287</v>
      </c>
      <c r="B51" s="5" t="s">
        <v>448</v>
      </c>
      <c r="C51" s="5" t="s">
        <v>449</v>
      </c>
      <c r="D51" s="5"/>
      <c r="E51" s="6" t="n">
        <v>0</v>
      </c>
      <c r="F51" s="9" t="n">
        <v>0</v>
      </c>
      <c r="G51" s="5"/>
      <c r="H51" s="5"/>
      <c r="I51" s="5"/>
      <c r="J51" s="6" t="n">
        <v>0</v>
      </c>
      <c r="K51" s="5"/>
      <c r="L51" s="5"/>
      <c r="M51" s="6" t="n">
        <v>128</v>
      </c>
      <c r="N51" s="6" t="n">
        <v>1</v>
      </c>
      <c r="O51" s="6" t="n">
        <v>0</v>
      </c>
      <c r="P51" s="5" t="s">
        <v>26</v>
      </c>
      <c r="Q51" s="5" t="s">
        <v>70</v>
      </c>
    </row>
    <row r="52" customFormat="false" ht="15" hidden="false" customHeight="false" outlineLevel="0" collapsed="false">
      <c r="A52" s="19" t="s">
        <v>287</v>
      </c>
      <c r="B52" s="5" t="s">
        <v>450</v>
      </c>
      <c r="C52" s="5" t="s">
        <v>451</v>
      </c>
      <c r="D52" s="5"/>
      <c r="E52" s="6" t="n">
        <v>0</v>
      </c>
      <c r="F52" s="9" t="n">
        <v>0</v>
      </c>
      <c r="G52" s="5"/>
      <c r="H52" s="5"/>
      <c r="I52" s="5"/>
      <c r="J52" s="6" t="n">
        <v>0</v>
      </c>
      <c r="K52" s="5"/>
      <c r="L52" s="5"/>
      <c r="M52" s="6" t="n">
        <v>128</v>
      </c>
      <c r="N52" s="6" t="n">
        <v>1</v>
      </c>
      <c r="O52" s="6" t="n">
        <v>0</v>
      </c>
      <c r="P52" s="5" t="s">
        <v>26</v>
      </c>
      <c r="Q52" s="5" t="s">
        <v>70</v>
      </c>
    </row>
    <row r="53" customFormat="false" ht="15" hidden="false" customHeight="false" outlineLevel="0" collapsed="false">
      <c r="A53" s="19" t="s">
        <v>287</v>
      </c>
      <c r="B53" s="5" t="s">
        <v>452</v>
      </c>
      <c r="C53" s="5" t="s">
        <v>453</v>
      </c>
      <c r="D53" s="5"/>
      <c r="E53" s="6" t="n">
        <v>0</v>
      </c>
      <c r="F53" s="9" t="n">
        <v>0</v>
      </c>
      <c r="G53" s="5"/>
      <c r="H53" s="5"/>
      <c r="I53" s="5"/>
      <c r="J53" s="6" t="n">
        <v>0</v>
      </c>
      <c r="K53" s="5"/>
      <c r="L53" s="5"/>
      <c r="M53" s="6" t="n">
        <v>256</v>
      </c>
      <c r="N53" s="6" t="n">
        <v>1</v>
      </c>
      <c r="O53" s="6" t="n">
        <v>1</v>
      </c>
      <c r="P53" s="5" t="s">
        <v>26</v>
      </c>
      <c r="Q53" s="5" t="s">
        <v>70</v>
      </c>
    </row>
    <row r="54" customFormat="false" ht="15" hidden="false" customHeight="false" outlineLevel="0" collapsed="false">
      <c r="A54" s="19" t="s">
        <v>287</v>
      </c>
      <c r="B54" s="5" t="s">
        <v>454</v>
      </c>
      <c r="C54" s="5"/>
      <c r="D54" s="5"/>
      <c r="E54" s="6" t="n">
        <v>0</v>
      </c>
      <c r="F54" s="9" t="n">
        <v>0</v>
      </c>
      <c r="G54" s="5"/>
      <c r="H54" s="5"/>
      <c r="I54" s="5"/>
      <c r="J54" s="6" t="n">
        <v>0</v>
      </c>
      <c r="K54" s="5"/>
      <c r="L54" s="5"/>
      <c r="M54" s="5"/>
      <c r="N54" s="6" t="n">
        <v>0</v>
      </c>
      <c r="O54" s="6" t="n">
        <v>0</v>
      </c>
      <c r="P54" s="5" t="s">
        <v>26</v>
      </c>
      <c r="Q54" s="5" t="s">
        <v>70</v>
      </c>
    </row>
    <row r="55" customFormat="false" ht="15" hidden="false" customHeight="false" outlineLevel="0" collapsed="false">
      <c r="A55" s="19" t="s">
        <v>287</v>
      </c>
      <c r="B55" s="5" t="s">
        <v>455</v>
      </c>
      <c r="C55" s="5"/>
      <c r="D55" s="5"/>
      <c r="E55" s="6" t="n">
        <v>0</v>
      </c>
      <c r="F55" s="9" t="n">
        <v>0</v>
      </c>
      <c r="G55" s="5"/>
      <c r="H55" s="5"/>
      <c r="I55" s="5"/>
      <c r="J55" s="6" t="n">
        <v>0</v>
      </c>
      <c r="K55" s="5"/>
      <c r="L55" s="5"/>
      <c r="M55" s="5"/>
      <c r="N55" s="6" t="n">
        <v>0</v>
      </c>
      <c r="O55" s="6" t="n">
        <v>0</v>
      </c>
      <c r="P55" s="5" t="s">
        <v>26</v>
      </c>
      <c r="Q55" s="5" t="s">
        <v>70</v>
      </c>
    </row>
    <row r="56" customFormat="false" ht="15" hidden="false" customHeight="false" outlineLevel="0" collapsed="false">
      <c r="A56" s="19" t="s">
        <v>287</v>
      </c>
      <c r="B56" s="5" t="s">
        <v>456</v>
      </c>
      <c r="C56" s="5"/>
      <c r="D56" s="5"/>
      <c r="E56" s="6" t="n">
        <v>0</v>
      </c>
      <c r="F56" s="9" t="n">
        <v>0</v>
      </c>
      <c r="G56" s="5"/>
      <c r="H56" s="5"/>
      <c r="I56" s="5"/>
      <c r="J56" s="6" t="n">
        <v>0</v>
      </c>
      <c r="K56" s="5"/>
      <c r="L56" s="5"/>
      <c r="M56" s="5"/>
      <c r="N56" s="6" t="n">
        <v>0</v>
      </c>
      <c r="O56" s="6" t="n">
        <v>0</v>
      </c>
      <c r="P56" s="5" t="s">
        <v>26</v>
      </c>
      <c r="Q56" s="5" t="s">
        <v>70</v>
      </c>
    </row>
    <row r="57" customFormat="false" ht="15" hidden="false" customHeight="false" outlineLevel="0" collapsed="false">
      <c r="A57" s="15" t="s">
        <v>226</v>
      </c>
      <c r="B57" s="5" t="s">
        <v>457</v>
      </c>
      <c r="C57" s="5"/>
      <c r="D57" s="5"/>
      <c r="E57" s="6" t="n">
        <v>0</v>
      </c>
      <c r="F57" s="9" t="n">
        <v>0</v>
      </c>
      <c r="G57" s="5"/>
      <c r="H57" s="5"/>
      <c r="I57" s="5"/>
      <c r="J57" s="6" t="n">
        <v>0</v>
      </c>
      <c r="K57" s="5"/>
      <c r="L57" s="5" t="s">
        <v>261</v>
      </c>
      <c r="M57" s="6" t="n">
        <v>16</v>
      </c>
      <c r="N57" s="6" t="n">
        <v>0</v>
      </c>
      <c r="O57" s="6" t="n">
        <v>0</v>
      </c>
      <c r="P57" s="5" t="s">
        <v>26</v>
      </c>
      <c r="Q57" s="5" t="s">
        <v>70</v>
      </c>
    </row>
    <row r="58" customFormat="false" ht="15" hidden="false" customHeight="false" outlineLevel="0" collapsed="false">
      <c r="A58" s="19" t="s">
        <v>287</v>
      </c>
      <c r="B58" s="5" t="s">
        <v>458</v>
      </c>
      <c r="C58" s="5" t="s">
        <v>319</v>
      </c>
      <c r="D58" s="5"/>
      <c r="E58" s="6" t="n">
        <v>0</v>
      </c>
      <c r="F58" s="9" t="n">
        <v>0</v>
      </c>
      <c r="G58" s="5"/>
      <c r="H58" s="5"/>
      <c r="I58" s="5"/>
      <c r="J58" s="6" t="n">
        <v>0</v>
      </c>
      <c r="K58" s="5"/>
      <c r="L58" s="5"/>
      <c r="M58" s="6" t="n">
        <v>128</v>
      </c>
      <c r="N58" s="6" t="n">
        <v>56</v>
      </c>
      <c r="O58" s="6" t="n">
        <v>202</v>
      </c>
      <c r="P58" s="10" t="s">
        <v>459</v>
      </c>
      <c r="Q58" s="5" t="s">
        <v>70</v>
      </c>
    </row>
    <row r="59" customFormat="false" ht="15" hidden="false" customHeight="false" outlineLevel="0" collapsed="false">
      <c r="A59" s="19" t="s">
        <v>287</v>
      </c>
      <c r="B59" s="5" t="s">
        <v>460</v>
      </c>
      <c r="C59" s="5" t="s">
        <v>419</v>
      </c>
      <c r="D59" s="5"/>
      <c r="E59" s="6" t="n">
        <v>0</v>
      </c>
      <c r="F59" s="9" t="n">
        <v>0</v>
      </c>
      <c r="G59" s="5"/>
      <c r="H59" s="5"/>
      <c r="I59" s="5"/>
      <c r="J59" s="6" t="n">
        <v>0</v>
      </c>
      <c r="K59" s="5"/>
      <c r="L59" s="5"/>
      <c r="M59" s="6" t="n">
        <v>64</v>
      </c>
      <c r="N59" s="6" t="n">
        <v>2</v>
      </c>
      <c r="O59" s="6" t="n">
        <v>16</v>
      </c>
      <c r="P59" s="10" t="s">
        <v>461</v>
      </c>
      <c r="Q59" s="5" t="s">
        <v>70</v>
      </c>
    </row>
    <row r="60" customFormat="false" ht="15" hidden="false" customHeight="false" outlineLevel="0" collapsed="false">
      <c r="A60" s="19" t="s">
        <v>287</v>
      </c>
      <c r="B60" s="5" t="s">
        <v>462</v>
      </c>
      <c r="C60" s="5" t="s">
        <v>350</v>
      </c>
      <c r="D60" s="5"/>
      <c r="E60" s="6" t="n">
        <v>0</v>
      </c>
      <c r="F60" s="9" t="n">
        <v>0</v>
      </c>
      <c r="G60" s="5"/>
      <c r="H60" s="5"/>
      <c r="I60" s="5"/>
      <c r="J60" s="6" t="n">
        <v>0</v>
      </c>
      <c r="K60" s="5"/>
      <c r="L60" s="5"/>
      <c r="M60" s="6" t="n">
        <v>64</v>
      </c>
      <c r="N60" s="6" t="n">
        <v>2</v>
      </c>
      <c r="O60" s="6" t="n">
        <v>7</v>
      </c>
      <c r="P60" s="10" t="s">
        <v>463</v>
      </c>
      <c r="Q60" s="5" t="s">
        <v>70</v>
      </c>
    </row>
    <row r="61" customFormat="false" ht="15" hidden="false" customHeight="false" outlineLevel="0" collapsed="false">
      <c r="A61" s="19" t="s">
        <v>287</v>
      </c>
      <c r="B61" s="5" t="s">
        <v>464</v>
      </c>
      <c r="C61" s="5" t="s">
        <v>326</v>
      </c>
      <c r="D61" s="5"/>
      <c r="E61" s="6" t="n">
        <v>0</v>
      </c>
      <c r="F61" s="9" t="n">
        <v>0</v>
      </c>
      <c r="G61" s="5"/>
      <c r="H61" s="5"/>
      <c r="I61" s="5"/>
      <c r="J61" s="6" t="n">
        <v>0</v>
      </c>
      <c r="K61" s="5"/>
      <c r="L61" s="5"/>
      <c r="M61" s="6" t="n">
        <v>64</v>
      </c>
      <c r="N61" s="6" t="n">
        <v>1</v>
      </c>
      <c r="O61" s="6" t="n">
        <v>0</v>
      </c>
      <c r="P61" s="10" t="s">
        <v>465</v>
      </c>
      <c r="Q61" s="5" t="s">
        <v>70</v>
      </c>
    </row>
    <row r="62" customFormat="false" ht="15" hidden="false" customHeight="false" outlineLevel="0" collapsed="false">
      <c r="A62" s="15" t="s">
        <v>226</v>
      </c>
      <c r="B62" s="5" t="s">
        <v>466</v>
      </c>
      <c r="C62" s="5" t="s">
        <v>315</v>
      </c>
      <c r="D62" s="5"/>
      <c r="E62" s="6" t="n">
        <v>0</v>
      </c>
      <c r="F62" s="9" t="n">
        <v>0</v>
      </c>
      <c r="G62" s="5"/>
      <c r="H62" s="5"/>
      <c r="I62" s="5"/>
      <c r="J62" s="6" t="n">
        <v>0</v>
      </c>
      <c r="K62" s="5"/>
      <c r="L62" s="5"/>
      <c r="M62" s="6" t="n">
        <v>128</v>
      </c>
      <c r="N62" s="6" t="n">
        <v>1</v>
      </c>
      <c r="O62" s="6" t="n">
        <v>1</v>
      </c>
      <c r="P62" s="10" t="s">
        <v>467</v>
      </c>
      <c r="Q62" s="5" t="s">
        <v>70</v>
      </c>
    </row>
  </sheetData>
  <autoFilter ref="A4:Q6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</cols>
  <sheetData>
    <row r="1" customFormat="false" ht="17.35" hidden="false" customHeight="false" outlineLevel="0" collapsed="false">
      <c r="A1" s="1" t="s">
        <v>468</v>
      </c>
    </row>
    <row r="2" customFormat="false" ht="15" hidden="false" customHeight="false" outlineLevel="0" collapsed="false">
      <c r="A2" s="2" t="s">
        <v>469</v>
      </c>
    </row>
    <row r="4" customFormat="false" ht="15" hidden="false" customHeight="false" outlineLevel="0" collapsed="false">
      <c r="A4" s="20" t="s">
        <v>470</v>
      </c>
      <c r="B4" s="21" t="n">
        <f aca="false">COUNTA(Tournaments!B5:B123)</f>
        <v>119</v>
      </c>
    </row>
    <row r="5" customFormat="false" ht="15" hidden="false" customHeight="false" outlineLevel="0" collapsed="false">
      <c r="A5" s="22" t="s">
        <v>471</v>
      </c>
      <c r="B5" s="21" t="n">
        <f aca="false">COUNTIF(Tournaments!P5:P123,"yes")</f>
        <v>109</v>
      </c>
    </row>
    <row r="6" customFormat="false" ht="15" hidden="false" customHeight="false" outlineLevel="0" collapsed="false">
      <c r="A6" s="22" t="s">
        <v>472</v>
      </c>
      <c r="B6" s="21" t="n">
        <f aca="false">COUNTIF(Tournaments!F5:F123,"&gt;0")</f>
        <v>43</v>
      </c>
    </row>
    <row r="7" customFormat="false" ht="15" hidden="false" customHeight="false" outlineLevel="0" collapsed="false">
      <c r="A7" s="22" t="s">
        <v>473</v>
      </c>
      <c r="B7" s="21" t="n">
        <f aca="false">COUNTIFS(Tournaments!F5:F123,"&gt;0",Tournaments!I5:I123,"&lt;=7")</f>
        <v>21</v>
      </c>
    </row>
    <row r="8" customFormat="false" ht="15" hidden="false" customHeight="false" outlineLevel="0" collapsed="false">
      <c r="A8" s="20" t="s">
        <v>474</v>
      </c>
      <c r="B8" s="21" t="n">
        <f aca="false">COUNTA('Perfect Drafts'!B5:B62)</f>
        <v>58</v>
      </c>
    </row>
    <row r="9" customFormat="false" ht="15" hidden="false" customHeight="false" outlineLevel="0" collapsed="false">
      <c r="A9" s="22" t="s">
        <v>471</v>
      </c>
      <c r="B9" s="21" t="n">
        <f aca="false">COUNTIF('Perfect Drafts'!P5:P62,"yes")</f>
        <v>53</v>
      </c>
    </row>
    <row r="10" customFormat="false" ht="15" hidden="false" customHeight="false" outlineLevel="0" collapsed="false">
      <c r="A10" s="22" t="s">
        <v>472</v>
      </c>
      <c r="B10" s="21" t="n">
        <f aca="false">COUNTIF('Perfect Drafts'!F5:F62,"&gt;0")</f>
        <v>2</v>
      </c>
    </row>
    <row r="11" customFormat="false" ht="15" hidden="false" customHeight="false" outlineLevel="0" collapsed="false">
      <c r="A11" s="20"/>
    </row>
    <row r="12" customFormat="false" ht="15" hidden="false" customHeight="false" outlineLevel="0" collapsed="false">
      <c r="A12" s="20" t="s">
        <v>475</v>
      </c>
      <c r="B12" s="21" t="n">
        <f aca="false">SUM(Tournaments!F5:F123)+SUM('Perfect Drafts'!F5:F62)</f>
        <v>308</v>
      </c>
    </row>
    <row r="13" customFormat="false" ht="15" hidden="false" customHeight="false" outlineLevel="0" collapsed="false">
      <c r="A13" s="20" t="s">
        <v>476</v>
      </c>
      <c r="B13" s="21" t="n">
        <f aca="false">SUM(Tournaments!E5:E123)+SUM('Perfect Drafts'!E5:E62)</f>
        <v>308</v>
      </c>
    </row>
    <row r="14" customFormat="false" ht="15" hidden="false" customHeight="false" outlineLevel="0" collapsed="false">
      <c r="A14" s="20" t="s">
        <v>477</v>
      </c>
      <c r="B14" s="21" t="n">
        <f aca="false">SUM(Tournaments!J5:J123)+SUM('Perfect Drafts'!J5:J62)</f>
        <v>369</v>
      </c>
    </row>
    <row r="15" customFormat="false" ht="15" hidden="false" customHeight="false" outlineLevel="0" collapsed="false">
      <c r="A15" s="23"/>
    </row>
    <row r="16" customFormat="false" ht="15" hidden="false" customHeight="false" outlineLevel="0" collapsed="false">
      <c r="A16" s="24" t="s">
        <v>478</v>
      </c>
    </row>
    <row r="17" customFormat="false" ht="15" hidden="false" customHeight="false" outlineLevel="0" collapsed="false">
      <c r="A17" s="23" t="s">
        <v>479</v>
      </c>
    </row>
    <row r="18" customFormat="false" ht="15" hidden="false" customHeight="false" outlineLevel="0" collapsed="false">
      <c r="A18" s="23" t="s">
        <v>480</v>
      </c>
    </row>
    <row r="19" customFormat="false" ht="15" hidden="false" customHeight="false" outlineLevel="0" collapsed="false">
      <c r="A19" s="23" t="s">
        <v>481</v>
      </c>
    </row>
    <row r="20" customFormat="false" ht="15" hidden="false" customHeight="false" outlineLevel="0" collapsed="false">
      <c r="A20" s="23" t="s">
        <v>482</v>
      </c>
    </row>
    <row r="21" customFormat="false" ht="15" hidden="false" customHeight="false" outlineLevel="0" collapsed="false">
      <c r="A21" s="23" t="s">
        <v>483</v>
      </c>
    </row>
    <row r="22" customFormat="false" ht="15" hidden="false" customHeight="false" outlineLevel="0" collapsed="false">
      <c r="A22" s="23" t="s">
        <v>484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2026-08-31T00:44:21Z</dcterms:created>
  <dc:creator>openpyxl</dc:creator>
  <dc:description/>
  <dc:language>en-US</dc:language>
  <cp:lastModifiedBy/>
  <dcterms:modified xsi:type="dcterms:W3CDTF">2026-08-31T00:44:21Z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