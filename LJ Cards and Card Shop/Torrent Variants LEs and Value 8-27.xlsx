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Matrix" sheetId="2" state="visible" r:id="rId4"/>
    <sheet name="Variants" sheetId="3" state="visible" r:id="rId5"/>
    <sheet name="LEs" sheetId="4" state="visible" r:id="rId6"/>
    <sheet name="Buy over 5000" sheetId="5" state="visible" r:id="rId7"/>
    <sheet name="New LE Wave" sheetId="6" state="visible" r:id="rId8"/>
  </sheets>
  <definedNames>
    <definedName function="false" hidden="true" localSheetId="4" name="_xlnm._FilterDatabase" vbProcedure="false">'Buy over 5000'!$A$1:$J$101</definedName>
    <definedName function="false" hidden="true" localSheetId="3" name="_xlnm._FilterDatabase" vbProcedure="false">LEs!$A$1:$J$22</definedName>
    <definedName function="false" hidden="true" localSheetId="5" name="_xlnm._FilterDatabase" vbProcedure="false">'New LE Wave'!$A$1:$J$38</definedName>
    <definedName function="false" hidden="true" localSheetId="2" name="_xlnm._FilterDatabase" vbProcedure="false">Variants!$A$1:$J$76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<sst xmlns="http://schemas.openxmlformats.org/spreadsheetml/2006/main" count="1545" uniqueCount="333">
  <si>
    <t xml:space="preserve">Torrent collection breakdown — 2026-08-27</t>
  </si>
  <si>
    <t xml:space="preserve">Facts only, per your note: no projections or model numbers anywhere in this workbook.</t>
  </si>
  <si>
    <t xml:space="preserve">Sources: your collection export of 8/27 (prices, variant + active flags, release dates) and the fresh pt_card_list of 8/27 (LE identification, new-wave prices).</t>
  </si>
  <si>
    <t xml:space="preserve">Sheets:</t>
  </si>
  <si>
    <t xml:space="preserve">  Matrix — counts of your variants, LEs, and 5,000+ BUY cards by tier and position (live COUNTIFS over the detail sheets).</t>
  </si>
  <si>
    <t xml:space="preserve">  Variants — all 75 variant cards you own.</t>
  </si>
  <si>
    <t xml:space="preserve">  LEs — all 21 limited editions you own (incl. two from the new wave).</t>
  </si>
  <si>
    <t xml:space="preserve">  Buy over 5000 — your 100 cards with a standing bid above 5,000 points.</t>
  </si>
  <si>
    <t xml:space="preserve">  New LE Wave — all 37 cards released Aug 23–25 (22 of them LE), with an Owned flag; 10 are already yours.</t>
  </si>
  <si>
    <t xml:space="preserve">Definitions:</t>
  </si>
  <si>
    <t xml:space="preserve">  L10 = average of the last 10 sales (market value).  BUY = highest standing bid — what you receive selling instantly.</t>
  </si>
  <si>
    <t xml:space="preserve">  Ask (New LE Wave) = lowest current listing — what it costs to buy right now; 0/blank = none listed.</t>
  </si>
  <si>
    <t xml:space="preserve">  Tier bands (in-game): Iron 40–59 · Bronze 60–69 · Silver 70–79 · Gold 80–89 · Diamond 90–99 · Perfect 100+.</t>
  </si>
  <si>
    <t xml:space="preserve">  Active = on your current tournament roster in the 8/27 export.</t>
  </si>
  <si>
    <t xml:space="preserve">Your VARIANTS by tier × position</t>
  </si>
  <si>
    <t xml:space="preserve">Tier</t>
  </si>
  <si>
    <t xml:space="preserve">C</t>
  </si>
  <si>
    <t xml:space="preserve">1B</t>
  </si>
  <si>
    <t xml:space="preserve">2B</t>
  </si>
  <si>
    <t xml:space="preserve">3B</t>
  </si>
  <si>
    <t xml:space="preserve">SS</t>
  </si>
  <si>
    <t xml:space="preserve">LF</t>
  </si>
  <si>
    <t xml:space="preserve">CF</t>
  </si>
  <si>
    <t xml:space="preserve">RF</t>
  </si>
  <si>
    <t xml:space="preserve">DH</t>
  </si>
  <si>
    <t xml:space="preserve">SP</t>
  </si>
  <si>
    <t xml:space="preserve">RP</t>
  </si>
  <si>
    <t xml:space="preserve">CL</t>
  </si>
  <si>
    <t xml:space="preserve">Total</t>
  </si>
  <si>
    <t xml:space="preserve">Iron</t>
  </si>
  <si>
    <t xml:space="preserve">Bronze</t>
  </si>
  <si>
    <t xml:space="preserve">Silver</t>
  </si>
  <si>
    <t xml:space="preserve">Gold</t>
  </si>
  <si>
    <t xml:space="preserve">Diamond</t>
  </si>
  <si>
    <t xml:space="preserve">Perfect</t>
  </si>
  <si>
    <t xml:space="preserve">Your LIMITED EDITIONS by tier × position</t>
  </si>
  <si>
    <t xml:space="preserve">Your cards with BUY &gt; 5,000 by tier × position</t>
  </si>
  <si>
    <t xml:space="preserve">Name</t>
  </si>
  <si>
    <t xml:space="preserve">Pos</t>
  </si>
  <si>
    <t xml:space="preserve">VAL</t>
  </si>
  <si>
    <t xml:space="preserve">Released</t>
  </si>
  <si>
    <t xml:space="preserve">L10</t>
  </si>
  <si>
    <t xml:space="preserve">BUY</t>
  </si>
  <si>
    <t xml:space="preserve">Active</t>
  </si>
  <si>
    <t xml:space="preserve">Variant</t>
  </si>
  <si>
    <t xml:space="preserve">SubType</t>
  </si>
  <si>
    <t xml:space="preserve">Jack Shepard</t>
  </si>
  <si>
    <t xml:space="preserve">2026-03-13</t>
  </si>
  <si>
    <t xml:space="preserve">No</t>
  </si>
  <si>
    <t xml:space="preserve">Y</t>
  </si>
  <si>
    <t xml:space="preserve">Billy Bryan</t>
  </si>
  <si>
    <t xml:space="preserve">2026-06-25</t>
  </si>
  <si>
    <t xml:space="preserve">Jonathan Lucroy</t>
  </si>
  <si>
    <t xml:space="preserve">2026-05-12</t>
  </si>
  <si>
    <t xml:space="preserve">Brice Turang</t>
  </si>
  <si>
    <t xml:space="preserve">Derek Dietrich</t>
  </si>
  <si>
    <t xml:space="preserve">2026-05-07</t>
  </si>
  <si>
    <t xml:space="preserve">BBR</t>
  </si>
  <si>
    <t xml:space="preserve">Tsung-Che Cheng</t>
  </si>
  <si>
    <t xml:space="preserve">2026-03-19</t>
  </si>
  <si>
    <t xml:space="preserve">WBC</t>
  </si>
  <si>
    <t xml:space="preserve">Taylor Ward</t>
  </si>
  <si>
    <t xml:space="preserve">Buster Adams</t>
  </si>
  <si>
    <t xml:space="preserve">Mike Trout</t>
  </si>
  <si>
    <t xml:space="preserve">2026-04-09</t>
  </si>
  <si>
    <t xml:space="preserve">Grady Sizemore</t>
  </si>
  <si>
    <t xml:space="preserve">2026-05-14</t>
  </si>
  <si>
    <t xml:space="preserve">Ramon Arano</t>
  </si>
  <si>
    <t xml:space="preserve">Isidro Fabre</t>
  </si>
  <si>
    <t xml:space="preserve">Don August</t>
  </si>
  <si>
    <t xml:space="preserve">2026-08-09</t>
  </si>
  <si>
    <t xml:space="preserve">Trevor Rosenthal</t>
  </si>
  <si>
    <t xml:space="preserve">2026-05-21</t>
  </si>
  <si>
    <t xml:space="preserve">Al Holland</t>
  </si>
  <si>
    <t xml:space="preserve">2026-07-09</t>
  </si>
  <si>
    <t xml:space="preserve">Thayron Liranzo</t>
  </si>
  <si>
    <t xml:space="preserve">2026-08-13</t>
  </si>
  <si>
    <t xml:space="preserve">Buck Martinez</t>
  </si>
  <si>
    <t xml:space="preserve">2026-06-19</t>
  </si>
  <si>
    <t xml:space="preserve">Mickey Mantle</t>
  </si>
  <si>
    <t xml:space="preserve">2026-04-23</t>
  </si>
  <si>
    <t xml:space="preserve">Marco Scutaro</t>
  </si>
  <si>
    <t xml:space="preserve">2026-07-30</t>
  </si>
  <si>
    <t xml:space="preserve">Ketel Marte</t>
  </si>
  <si>
    <t xml:space="preserve">Rickey Henderson</t>
  </si>
  <si>
    <t xml:space="preserve">Brett Butler</t>
  </si>
  <si>
    <t xml:space="preserve">2026-07-02</t>
  </si>
  <si>
    <t xml:space="preserve">Ed Morgan</t>
  </si>
  <si>
    <t xml:space="preserve">Happy Townsend</t>
  </si>
  <si>
    <t xml:space="preserve">Chuck Finley</t>
  </si>
  <si>
    <t xml:space="preserve">Adam Cimber</t>
  </si>
  <si>
    <t xml:space="preserve">Marshall Bridges</t>
  </si>
  <si>
    <t xml:space="preserve">Nathan Flewelling</t>
  </si>
  <si>
    <t xml:space="preserve">2026-07-14</t>
  </si>
  <si>
    <t xml:space="preserve">Will Clark</t>
  </si>
  <si>
    <t xml:space="preserve">2026-06-23</t>
  </si>
  <si>
    <t xml:space="preserve">Vic Power</t>
  </si>
  <si>
    <t xml:space="preserve">2026-06-04</t>
  </si>
  <si>
    <t xml:space="preserve">UTIL</t>
  </si>
  <si>
    <t xml:space="preserve">Nick Swisher</t>
  </si>
  <si>
    <t xml:space="preserve">2026-06-18</t>
  </si>
  <si>
    <t xml:space="preserve">Jose Vidro</t>
  </si>
  <si>
    <t xml:space="preserve">2026-05-26</t>
  </si>
  <si>
    <t xml:space="preserve">Justin Turner</t>
  </si>
  <si>
    <t xml:space="preserve">2026-04-30</t>
  </si>
  <si>
    <t xml:space="preserve">Dave Hollins</t>
  </si>
  <si>
    <t xml:space="preserve">Fernando Tatis</t>
  </si>
  <si>
    <t xml:space="preserve">Ozzie Smith</t>
  </si>
  <si>
    <t xml:space="preserve">2026-06-09</t>
  </si>
  <si>
    <t xml:space="preserve">HOF</t>
  </si>
  <si>
    <t xml:space="preserve">Chuck Essegian</t>
  </si>
  <si>
    <t xml:space="preserve">Jimmie Lyons</t>
  </si>
  <si>
    <t xml:space="preserve">Owen Caissie</t>
  </si>
  <si>
    <t xml:space="preserve">2026-04-02</t>
  </si>
  <si>
    <t xml:space="preserve">Ken Griffey Jr.</t>
  </si>
  <si>
    <t xml:space="preserve">George Klassen</t>
  </si>
  <si>
    <t xml:space="preserve">Bobby Shantz</t>
  </si>
  <si>
    <t xml:space="preserve">Julio Teheran</t>
  </si>
  <si>
    <t xml:space="preserve">Frank Foreman</t>
  </si>
  <si>
    <t xml:space="preserve">Max Fried</t>
  </si>
  <si>
    <t xml:space="preserve">Gene Schott</t>
  </si>
  <si>
    <t xml:space="preserve">Mark Littell</t>
  </si>
  <si>
    <t xml:space="preserve">Danny Jansen</t>
  </si>
  <si>
    <t xml:space="preserve">Jeferson Quero</t>
  </si>
  <si>
    <t xml:space="preserve">2026-05-23</t>
  </si>
  <si>
    <t xml:space="preserve">Rudy York</t>
  </si>
  <si>
    <t xml:space="preserve">2026-08-06</t>
  </si>
  <si>
    <t xml:space="preserve">Carlos Baerga</t>
  </si>
  <si>
    <t xml:space="preserve">Ben Zobrist</t>
  </si>
  <si>
    <t xml:space="preserve">Brandon Lowe</t>
  </si>
  <si>
    <t xml:space="preserve">Bill Mueller</t>
  </si>
  <si>
    <t xml:space="preserve">2026-07-23</t>
  </si>
  <si>
    <t xml:space="preserve">Ernie Banks</t>
  </si>
  <si>
    <t xml:space="preserve">2026-05-28</t>
  </si>
  <si>
    <t xml:space="preserve">Bob Fothergill</t>
  </si>
  <si>
    <t xml:space="preserve">Danny Tartabull</t>
  </si>
  <si>
    <t xml:space="preserve">Albie Pearson</t>
  </si>
  <si>
    <t xml:space="preserve">Dave Stieb</t>
  </si>
  <si>
    <t xml:space="preserve">2026-07-01</t>
  </si>
  <si>
    <t xml:space="preserve">Ricky Romero</t>
  </si>
  <si>
    <t xml:space="preserve">Steve Hamilton</t>
  </si>
  <si>
    <t xml:space="preserve">Tony Watson</t>
  </si>
  <si>
    <t xml:space="preserve">Carlos Lagrange</t>
  </si>
  <si>
    <t xml:space="preserve">2026-04-17</t>
  </si>
  <si>
    <t xml:space="preserve">Dan Quisenberry</t>
  </si>
  <si>
    <t xml:space="preserve">Luke Easter</t>
  </si>
  <si>
    <t xml:space="preserve">2026-04-03</t>
  </si>
  <si>
    <t xml:space="preserve">JJ Wetherholt</t>
  </si>
  <si>
    <t xml:space="preserve">2026-03-27</t>
  </si>
  <si>
    <t xml:space="preserve">Colt Emerson</t>
  </si>
  <si>
    <t xml:space="preserve">Trea Turner</t>
  </si>
  <si>
    <t xml:space="preserve">Yoenis Cespedes</t>
  </si>
  <si>
    <t xml:space="preserve">Lennie Pearson</t>
  </si>
  <si>
    <t xml:space="preserve">2026-04-16</t>
  </si>
  <si>
    <t xml:space="preserve">Ryan Waldschmidt</t>
  </si>
  <si>
    <t xml:space="preserve">2026-05-09</t>
  </si>
  <si>
    <t xml:space="preserve">Trey Yesavage</t>
  </si>
  <si>
    <t xml:space="preserve">2026-05-01</t>
  </si>
  <si>
    <t xml:space="preserve">Steve Carlton</t>
  </si>
  <si>
    <t xml:space="preserve">Tony Fossas</t>
  </si>
  <si>
    <t xml:space="preserve">Roy Campanella</t>
  </si>
  <si>
    <t xml:space="preserve">Andres Galarraga</t>
  </si>
  <si>
    <t xml:space="preserve">2026-06-02</t>
  </si>
  <si>
    <t xml:space="preserve">N</t>
  </si>
  <si>
    <t xml:space="preserve">LE</t>
  </si>
  <si>
    <t xml:space="preserve">Nathan Eovaldi</t>
  </si>
  <si>
    <t xml:space="preserve">2026-08-25</t>
  </si>
  <si>
    <t xml:space="preserve">Larry Gardner</t>
  </si>
  <si>
    <t xml:space="preserve">Ian Desmond</t>
  </si>
  <si>
    <t xml:space="preserve">2026-07-07</t>
  </si>
  <si>
    <t xml:space="preserve">Jose Lima</t>
  </si>
  <si>
    <t xml:space="preserve">2026-04-13</t>
  </si>
  <si>
    <t xml:space="preserve">Jose DeLeon</t>
  </si>
  <si>
    <t xml:space="preserve">2026-07-28</t>
  </si>
  <si>
    <t xml:space="preserve">Alexi Ogando</t>
  </si>
  <si>
    <t xml:space="preserve">2026-07-06</t>
  </si>
  <si>
    <t xml:space="preserve">Shigetoshi Hasegawa</t>
  </si>
  <si>
    <t xml:space="preserve">Jeff Kent</t>
  </si>
  <si>
    <t xml:space="preserve">Miguel Sano</t>
  </si>
  <si>
    <t xml:space="preserve">2026-07-08</t>
  </si>
  <si>
    <t xml:space="preserve">Gus Bell</t>
  </si>
  <si>
    <t xml:space="preserve">2026-06-17</t>
  </si>
  <si>
    <t xml:space="preserve">Carlos Beltran</t>
  </si>
  <si>
    <t xml:space="preserve">Zack Greinke</t>
  </si>
  <si>
    <t xml:space="preserve">Chad Cordero</t>
  </si>
  <si>
    <t xml:space="preserve">Richie Scheinblum</t>
  </si>
  <si>
    <t xml:space="preserve">David Cone</t>
  </si>
  <si>
    <t xml:space="preserve">Brett Cecil</t>
  </si>
  <si>
    <t xml:space="preserve">Jesse Chavez</t>
  </si>
  <si>
    <t xml:space="preserve">Mark Loretta</t>
  </si>
  <si>
    <t xml:space="preserve">Kyle Stowers</t>
  </si>
  <si>
    <t xml:space="preserve">Doug Fister</t>
  </si>
  <si>
    <t xml:space="preserve">CC Sabathia</t>
  </si>
  <si>
    <t xml:space="preserve">Yes</t>
  </si>
  <si>
    <t xml:space="preserve">Robb Nen</t>
  </si>
  <si>
    <t xml:space="preserve">Roger Connor</t>
  </si>
  <si>
    <t xml:space="preserve">Scott Rolen</t>
  </si>
  <si>
    <t xml:space="preserve">John McGraw</t>
  </si>
  <si>
    <t xml:space="preserve">Satchel Paige</t>
  </si>
  <si>
    <t xml:space="preserve">2026-04-15</t>
  </si>
  <si>
    <t xml:space="preserve">Vida Blue</t>
  </si>
  <si>
    <t xml:space="preserve">2026-06-11</t>
  </si>
  <si>
    <t xml:space="preserve">Josh Gibson</t>
  </si>
  <si>
    <t xml:space="preserve">2026-07-16</t>
  </si>
  <si>
    <t xml:space="preserve">Phil Rizzuto</t>
  </si>
  <si>
    <t xml:space="preserve">2026-08-19</t>
  </si>
  <si>
    <t xml:space="preserve">Johnny Bassler</t>
  </si>
  <si>
    <t xml:space="preserve">2026-08-04</t>
  </si>
  <si>
    <t xml:space="preserve">Eddie Murray</t>
  </si>
  <si>
    <t xml:space="preserve">Rich Gossage</t>
  </si>
  <si>
    <t xml:space="preserve">Jesse Orosco</t>
  </si>
  <si>
    <t xml:space="preserve">2026-04-20</t>
  </si>
  <si>
    <t xml:space="preserve">Tom Henke</t>
  </si>
  <si>
    <t xml:space="preserve">Giancarlo Stanton</t>
  </si>
  <si>
    <t xml:space="preserve">Milt Pappas</t>
  </si>
  <si>
    <t xml:space="preserve">Sam McDowell</t>
  </si>
  <si>
    <t xml:space="preserve">Harry Steinfeldt</t>
  </si>
  <si>
    <t xml:space="preserve">Johnny Vander Meer</t>
  </si>
  <si>
    <t xml:space="preserve">Jackie Robinson</t>
  </si>
  <si>
    <t xml:space="preserve">Andrew Miller</t>
  </si>
  <si>
    <t xml:space="preserve">Arky Vaughan</t>
  </si>
  <si>
    <t xml:space="preserve">Dizzy Dean</t>
  </si>
  <si>
    <t xml:space="preserve">Kevin Brown</t>
  </si>
  <si>
    <t xml:space="preserve">Jose Altuve</t>
  </si>
  <si>
    <t xml:space="preserve">Tarik Skubal</t>
  </si>
  <si>
    <t xml:space="preserve">Dave Smith</t>
  </si>
  <si>
    <t xml:space="preserve">Mel Ott</t>
  </si>
  <si>
    <t xml:space="preserve">Juan Marichal</t>
  </si>
  <si>
    <t xml:space="preserve">Solly Hemus</t>
  </si>
  <si>
    <t xml:space="preserve">George Springer</t>
  </si>
  <si>
    <t xml:space="preserve">Frank Robinson</t>
  </si>
  <si>
    <t xml:space="preserve">Cliff Lee</t>
  </si>
  <si>
    <t xml:space="preserve">Dolf Luque</t>
  </si>
  <si>
    <t xml:space="preserve">Camilo Pascual</t>
  </si>
  <si>
    <t xml:space="preserve">2026-03-26</t>
  </si>
  <si>
    <t xml:space="preserve">Kitty Bransfield</t>
  </si>
  <si>
    <t xml:space="preserve">2026-08-07</t>
  </si>
  <si>
    <t xml:space="preserve">Jack Coombs</t>
  </si>
  <si>
    <t xml:space="preserve">Cody Bellinger</t>
  </si>
  <si>
    <t xml:space="preserve">Jon Matlack</t>
  </si>
  <si>
    <t xml:space="preserve">Bobby Witt Jr.</t>
  </si>
  <si>
    <t xml:space="preserve">Josh Johnson</t>
  </si>
  <si>
    <t xml:space="preserve">J.A. Happ</t>
  </si>
  <si>
    <t xml:space="preserve">2026-07-29</t>
  </si>
  <si>
    <t xml:space="preserve">R.A. Dickey</t>
  </si>
  <si>
    <t xml:space="preserve">2026-06-10</t>
  </si>
  <si>
    <t xml:space="preserve">Mike Schmidt</t>
  </si>
  <si>
    <t xml:space="preserve">Johnny Dickshot</t>
  </si>
  <si>
    <t xml:space="preserve">Cla Meredith</t>
  </si>
  <si>
    <t xml:space="preserve">2026-04-29</t>
  </si>
  <si>
    <t xml:space="preserve">Yoshinobu Yamamoto</t>
  </si>
  <si>
    <t xml:space="preserve">Tyler Anderson</t>
  </si>
  <si>
    <t xml:space="preserve">Brad Boxberger</t>
  </si>
  <si>
    <t xml:space="preserve">2026-06-24</t>
  </si>
  <si>
    <t xml:space="preserve">Jonny Venters</t>
  </si>
  <si>
    <t xml:space="preserve">Cristian Guzman</t>
  </si>
  <si>
    <t xml:space="preserve">Darryl Strawberry</t>
  </si>
  <si>
    <t xml:space="preserve">Duane Ward</t>
  </si>
  <si>
    <t xml:space="preserve">2026-07-25</t>
  </si>
  <si>
    <t xml:space="preserve">Carlos Lee</t>
  </si>
  <si>
    <t xml:space="preserve">Jesus Luzardo</t>
  </si>
  <si>
    <t xml:space="preserve">Jose Reyes</t>
  </si>
  <si>
    <t xml:space="preserve">Parker Messick</t>
  </si>
  <si>
    <t xml:space="preserve">Dizzy Trout</t>
  </si>
  <si>
    <t xml:space="preserve">Al Leiter</t>
  </si>
  <si>
    <t xml:space="preserve">Joe Sambito</t>
  </si>
  <si>
    <t xml:space="preserve">Blake Snell</t>
  </si>
  <si>
    <t xml:space="preserve">Curtis Granderson</t>
  </si>
  <si>
    <t xml:space="preserve">2026-08-15</t>
  </si>
  <si>
    <t xml:space="preserve">Honus Wagner</t>
  </si>
  <si>
    <t xml:space="preserve">Eli Willits</t>
  </si>
  <si>
    <t xml:space="preserve">2026-06-13</t>
  </si>
  <si>
    <t xml:space="preserve">Carlos Delgado</t>
  </si>
  <si>
    <t xml:space="preserve">Chick Stahl</t>
  </si>
  <si>
    <t xml:space="preserve">Tony Fernandez</t>
  </si>
  <si>
    <t xml:space="preserve">Paul Goldschmidt</t>
  </si>
  <si>
    <t xml:space="preserve">Andruw Jones</t>
  </si>
  <si>
    <t xml:space="preserve">Fernando Tatis Jr.</t>
  </si>
  <si>
    <t xml:space="preserve">Walt Wilmot</t>
  </si>
  <si>
    <t xml:space="preserve">Hoyt Wilhelm</t>
  </si>
  <si>
    <t xml:space="preserve">Barry Larkin</t>
  </si>
  <si>
    <t xml:space="preserve">Dylan Cease</t>
  </si>
  <si>
    <t xml:space="preserve">Andrew McCutchen</t>
  </si>
  <si>
    <t xml:space="preserve">Corbin Carroll</t>
  </si>
  <si>
    <t xml:space="preserve">Arjun Nimmala</t>
  </si>
  <si>
    <t xml:space="preserve">John Smoltz</t>
  </si>
  <si>
    <t xml:space="preserve">Cam Schlittler</t>
  </si>
  <si>
    <t xml:space="preserve">Bryce Harper</t>
  </si>
  <si>
    <t xml:space="preserve">Joe Saunders</t>
  </si>
  <si>
    <t xml:space="preserve">Dutch Leonard</t>
  </si>
  <si>
    <t xml:space="preserve">Alejandro Oms</t>
  </si>
  <si>
    <t xml:space="preserve">Card</t>
  </si>
  <si>
    <t xml:space="preserve">Owned</t>
  </si>
  <si>
    <t xml:space="preserve">Ask</t>
  </si>
  <si>
    <t xml:space="preserve">T4 Ep. 8 - Hall of Fame 3B George Kell DET 1950</t>
  </si>
  <si>
    <t xml:space="preserve">2026-08-23</t>
  </si>
  <si>
    <t xml:space="preserve">Limited Edition/100 SP Nathan Eovaldi MIA 2013</t>
  </si>
  <si>
    <t xml:space="preserve">Limited Edition/56 SP Bill Pulsipher NYM 1995</t>
  </si>
  <si>
    <t xml:space="preserve">Limited Edition/50 RP Jonny Venters TB 2018</t>
  </si>
  <si>
    <t xml:space="preserve">2026-08-24</t>
  </si>
  <si>
    <t xml:space="preserve">Limited Edition/47 C Taylor Teagarden TEX 2008</t>
  </si>
  <si>
    <t xml:space="preserve">Limited Edition/60 SP Rubby De La Rosa LAD 2011</t>
  </si>
  <si>
    <t xml:space="preserve">Limited Edition/52 RP Jack Leathersich NYM 2015</t>
  </si>
  <si>
    <t xml:space="preserve">Limited Edition/81 SP Brandon Beachy ATL 2012</t>
  </si>
  <si>
    <t xml:space="preserve">Limited Edition/79 SP Danny Salazar CLE 2015</t>
  </si>
  <si>
    <t xml:space="preserve">Limited Edition/44 RP Bill Bray CIN 2011</t>
  </si>
  <si>
    <t xml:space="preserve">Limited Edition/63 SP Jarrod Parker ATH 2012</t>
  </si>
  <si>
    <t xml:space="preserve">Limited Edition/122 CF Aaron Hicks NYY 2020</t>
  </si>
  <si>
    <t xml:space="preserve">Limited Edition/100 SP Jacob deGrom NYM 2014</t>
  </si>
  <si>
    <t xml:space="preserve">Limited Edition/86 SP Daniel Hudson ARI 2011</t>
  </si>
  <si>
    <t xml:space="preserve">Limited Edition/86 SS Didi Gregorius NYY 2018</t>
  </si>
  <si>
    <t xml:space="preserve">Limited Edition/56 SP Brent Strom SD 1975</t>
  </si>
  <si>
    <t xml:space="preserve">Limited Edition/88 SP Tyler Glasnow TB 2021</t>
  </si>
  <si>
    <t xml:space="preserve">Limited Edition/45 SP Joe Hesketh MON 1985</t>
  </si>
  <si>
    <t xml:space="preserve">Limited Edition/69 DH Jose Canseco TEX 1994</t>
  </si>
  <si>
    <t xml:space="preserve">Limited Edition/50 SP Kris Medlen ATL 2012</t>
  </si>
  <si>
    <t xml:space="preserve">Limited Edition/78 RF Shin-Soo Choo CLE 2009</t>
  </si>
  <si>
    <t xml:space="preserve">Limited Edition/54 CL Zack Britton BAL 2016</t>
  </si>
  <si>
    <t xml:space="preserve">Limited Edition/34 CL Jason Isringhausen ATH 2001</t>
  </si>
  <si>
    <t xml:space="preserve">T4 Ep. 8 - Historical All-Star SS Vern Stephens BOS 1950</t>
  </si>
  <si>
    <t xml:space="preserve">T4 Ep. 8 - Unsung Heroes 2B Daryl Spencer SF 1959</t>
  </si>
  <si>
    <t xml:space="preserve">In Memoriam - Snapshot SP Tommy John CWS 1965</t>
  </si>
  <si>
    <t xml:space="preserve">T4 Ep. 8 - Veteran Presence LF Ted Williams BOS 1959</t>
  </si>
  <si>
    <t xml:space="preserve">T4 Ep. 8 - Veteran Presence RP Mike Garcia CLE 1959</t>
  </si>
  <si>
    <t xml:space="preserve">T4 Ep. 8 - Unsung Heroes 3B Hal Smith KC1 1959</t>
  </si>
  <si>
    <t xml:space="preserve">T4 Ep. 8 - All-Time Legend RP Bob Ross WS1 1951</t>
  </si>
  <si>
    <t xml:space="preserve">T4 Ep. 8 - Snapshot C Ed Bailey CIN 1959</t>
  </si>
  <si>
    <t xml:space="preserve">T4 Ep. 8 - Unsung Heroes LF Wes Covington ML1 1958</t>
  </si>
  <si>
    <t xml:space="preserve">T4 Ep. 8 - Snapshot RP Nelson Chittum BOS 1959</t>
  </si>
  <si>
    <t xml:space="preserve">T4 Ep. 8 - Snapshot RF Jackie Jensen BOS 1959</t>
  </si>
  <si>
    <t xml:space="preserve">T4 Ep. 8 - Historical All-Star SP Joe Nuxhall CIN 1955</t>
  </si>
  <si>
    <t xml:space="preserve">T4 Ep. 8 - Snapshot SP Art Ditmar NYY 1959</t>
  </si>
  <si>
    <t xml:space="preserve">In Memoriam - Historical All-Star SP Tommy John NYY 1979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</si>
</sst>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D3B57"/>
        <bgColor rgb="FF333333"/>
      </patternFill>
    </fill>
    <fill>
      <patternFill patternType="solid">
        <fgColor rgb="FFF2F0EA"/>
        <bgColor rgb="FFFFF2CC"/>
      </patternFill>
    </fill>
    <fill>
      <patternFill patternType="solid">
        <fgColor rgb="FFFFF2CC"/>
        <bgColor rgb="FFF2F0E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D3B57"/>
          <bgColor rgb="FF000000"/>
        </patternFill>
      </fill>
    </dxf>
    <dxf>
      <fill>
        <patternFill patternType="solid">
          <fgColor rgb="FFF2F0E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0E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D3B5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14" min="2" style="0" width="7"/>
  </cols>
  <sheetData>
    <row r="1" customFormat="false" ht="15" hidden="false" customHeight="false" outlineLevel="0" collapsed="false">
      <c r="A1" s="3" t="s">
        <v>14</v>
      </c>
    </row>
    <row r="2" customFormat="false" ht="15" hidden="false" customHeight="false" outlineLevel="0" collapsed="false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</row>
    <row r="3" customFormat="false" ht="15" hidden="false" customHeight="false" outlineLevel="0" collapsed="false">
      <c r="A3" s="3" t="s">
        <v>29</v>
      </c>
      <c r="B3" s="2" t="n">
        <f aca="false">COUNTIFS(Variants!$B:$B,$A3,Variants!$C:$C,B$2)</f>
        <v>3</v>
      </c>
      <c r="C3" s="2" t="n">
        <f aca="false">COUNTIFS(Variants!$B:$B,$A3,Variants!$C:$C,C$2)</f>
        <v>0</v>
      </c>
      <c r="D3" s="2" t="n">
        <f aca="false">COUNTIFS(Variants!$B:$B,$A3,Variants!$C:$C,D$2)</f>
        <v>3</v>
      </c>
      <c r="E3" s="2" t="n">
        <f aca="false">COUNTIFS(Variants!$B:$B,$A3,Variants!$C:$C,E$2)</f>
        <v>0</v>
      </c>
      <c r="F3" s="2" t="n">
        <f aca="false">COUNTIFS(Variants!$B:$B,$A3,Variants!$C:$C,F$2)</f>
        <v>0</v>
      </c>
      <c r="G3" s="2" t="n">
        <f aca="false">COUNTIFS(Variants!$B:$B,$A3,Variants!$C:$C,G$2)</f>
        <v>1</v>
      </c>
      <c r="H3" s="2" t="n">
        <f aca="false">COUNTIFS(Variants!$B:$B,$A3,Variants!$C:$C,H$2)</f>
        <v>2</v>
      </c>
      <c r="I3" s="2" t="n">
        <f aca="false">COUNTIFS(Variants!$B:$B,$A3,Variants!$C:$C,I$2)</f>
        <v>1</v>
      </c>
      <c r="J3" s="2" t="n">
        <f aca="false">COUNTIFS(Variants!$B:$B,$A3,Variants!$C:$C,J$2)</f>
        <v>0</v>
      </c>
      <c r="K3" s="2" t="n">
        <f aca="false">COUNTIFS(Variants!$B:$B,$A3,Variants!$C:$C,K$2)</f>
        <v>3</v>
      </c>
      <c r="L3" s="2" t="n">
        <f aca="false">COUNTIFS(Variants!$B:$B,$A3,Variants!$C:$C,L$2)</f>
        <v>0</v>
      </c>
      <c r="M3" s="2" t="n">
        <f aca="false">COUNTIFS(Variants!$B:$B,$A3,Variants!$C:$C,M$2)</f>
        <v>2</v>
      </c>
      <c r="N3" s="3" t="n">
        <f aca="false">SUM(B3:M3)</f>
        <v>15</v>
      </c>
    </row>
    <row r="4" customFormat="false" ht="15" hidden="false" customHeight="false" outlineLevel="0" collapsed="false">
      <c r="A4" s="3" t="s">
        <v>30</v>
      </c>
      <c r="B4" s="2" t="n">
        <f aca="false">COUNTIFS(Variants!$B:$B,$A4,Variants!$C:$C,B$2)</f>
        <v>2</v>
      </c>
      <c r="C4" s="2" t="n">
        <f aca="false">COUNTIFS(Variants!$B:$B,$A4,Variants!$C:$C,C$2)</f>
        <v>1</v>
      </c>
      <c r="D4" s="2" t="n">
        <f aca="false">COUNTIFS(Variants!$B:$B,$A4,Variants!$C:$C,D$2)</f>
        <v>1</v>
      </c>
      <c r="E4" s="2" t="n">
        <f aca="false">COUNTIFS(Variants!$B:$B,$A4,Variants!$C:$C,E$2)</f>
        <v>0</v>
      </c>
      <c r="F4" s="2" t="n">
        <f aca="false">COUNTIFS(Variants!$B:$B,$A4,Variants!$C:$C,F$2)</f>
        <v>1</v>
      </c>
      <c r="G4" s="2" t="n">
        <f aca="false">COUNTIFS(Variants!$B:$B,$A4,Variants!$C:$C,G$2)</f>
        <v>1</v>
      </c>
      <c r="H4" s="2" t="n">
        <f aca="false">COUNTIFS(Variants!$B:$B,$A4,Variants!$C:$C,H$2)</f>
        <v>1</v>
      </c>
      <c r="I4" s="2" t="n">
        <f aca="false">COUNTIFS(Variants!$B:$B,$A4,Variants!$C:$C,I$2)</f>
        <v>1</v>
      </c>
      <c r="J4" s="2" t="n">
        <f aca="false">COUNTIFS(Variants!$B:$B,$A4,Variants!$C:$C,J$2)</f>
        <v>0</v>
      </c>
      <c r="K4" s="2" t="n">
        <f aca="false">COUNTIFS(Variants!$B:$B,$A4,Variants!$C:$C,K$2)</f>
        <v>2</v>
      </c>
      <c r="L4" s="2" t="n">
        <f aca="false">COUNTIFS(Variants!$B:$B,$A4,Variants!$C:$C,L$2)</f>
        <v>1</v>
      </c>
      <c r="M4" s="2" t="n">
        <f aca="false">COUNTIFS(Variants!$B:$B,$A4,Variants!$C:$C,M$2)</f>
        <v>1</v>
      </c>
      <c r="N4" s="3" t="n">
        <f aca="false">SUM(B4:M4)</f>
        <v>12</v>
      </c>
    </row>
    <row r="5" customFormat="false" ht="15" hidden="false" customHeight="false" outlineLevel="0" collapsed="false">
      <c r="A5" s="3" t="s">
        <v>31</v>
      </c>
      <c r="B5" s="2" t="n">
        <f aca="false">COUNTIFS(Variants!$B:$B,$A5,Variants!$C:$C,B$2)</f>
        <v>1</v>
      </c>
      <c r="C5" s="2" t="n">
        <f aca="false">COUNTIFS(Variants!$B:$B,$A5,Variants!$C:$C,C$2)</f>
        <v>3</v>
      </c>
      <c r="D5" s="2" t="n">
        <f aca="false">COUNTIFS(Variants!$B:$B,$A5,Variants!$C:$C,D$2)</f>
        <v>1</v>
      </c>
      <c r="E5" s="2" t="n">
        <f aca="false">COUNTIFS(Variants!$B:$B,$A5,Variants!$C:$C,E$2)</f>
        <v>3</v>
      </c>
      <c r="F5" s="2" t="n">
        <f aca="false">COUNTIFS(Variants!$B:$B,$A5,Variants!$C:$C,F$2)</f>
        <v>1</v>
      </c>
      <c r="G5" s="2" t="n">
        <f aca="false">COUNTIFS(Variants!$B:$B,$A5,Variants!$C:$C,G$2)</f>
        <v>2</v>
      </c>
      <c r="H5" s="2" t="n">
        <f aca="false">COUNTIFS(Variants!$B:$B,$A5,Variants!$C:$C,H$2)</f>
        <v>0</v>
      </c>
      <c r="I5" s="2" t="n">
        <f aca="false">COUNTIFS(Variants!$B:$B,$A5,Variants!$C:$C,I$2)</f>
        <v>2</v>
      </c>
      <c r="J5" s="2" t="n">
        <f aca="false">COUNTIFS(Variants!$B:$B,$A5,Variants!$C:$C,J$2)</f>
        <v>0</v>
      </c>
      <c r="K5" s="2" t="n">
        <f aca="false">COUNTIFS(Variants!$B:$B,$A5,Variants!$C:$C,K$2)</f>
        <v>6</v>
      </c>
      <c r="L5" s="2" t="n">
        <f aca="false">COUNTIFS(Variants!$B:$B,$A5,Variants!$C:$C,L$2)</f>
        <v>1</v>
      </c>
      <c r="M5" s="2" t="n">
        <f aca="false">COUNTIFS(Variants!$B:$B,$A5,Variants!$C:$C,M$2)</f>
        <v>0</v>
      </c>
      <c r="N5" s="3" t="n">
        <f aca="false">SUM(B5:M5)</f>
        <v>20</v>
      </c>
    </row>
    <row r="6" customFormat="false" ht="15" hidden="false" customHeight="false" outlineLevel="0" collapsed="false">
      <c r="A6" s="3" t="s">
        <v>32</v>
      </c>
      <c r="B6" s="2" t="n">
        <f aca="false">COUNTIFS(Variants!$B:$B,$A6,Variants!$C:$C,B$2)</f>
        <v>2</v>
      </c>
      <c r="C6" s="2" t="n">
        <f aca="false">COUNTIFS(Variants!$B:$B,$A6,Variants!$C:$C,C$2)</f>
        <v>1</v>
      </c>
      <c r="D6" s="2" t="n">
        <f aca="false">COUNTIFS(Variants!$B:$B,$A6,Variants!$C:$C,D$2)</f>
        <v>3</v>
      </c>
      <c r="E6" s="2" t="n">
        <f aca="false">COUNTIFS(Variants!$B:$B,$A6,Variants!$C:$C,E$2)</f>
        <v>1</v>
      </c>
      <c r="F6" s="2" t="n">
        <f aca="false">COUNTIFS(Variants!$B:$B,$A6,Variants!$C:$C,F$2)</f>
        <v>1</v>
      </c>
      <c r="G6" s="2" t="n">
        <f aca="false">COUNTIFS(Variants!$B:$B,$A6,Variants!$C:$C,G$2)</f>
        <v>1</v>
      </c>
      <c r="H6" s="2" t="n">
        <f aca="false">COUNTIFS(Variants!$B:$B,$A6,Variants!$C:$C,H$2)</f>
        <v>0</v>
      </c>
      <c r="I6" s="2" t="n">
        <f aca="false">COUNTIFS(Variants!$B:$B,$A6,Variants!$C:$C,I$2)</f>
        <v>2</v>
      </c>
      <c r="J6" s="2" t="n">
        <f aca="false">COUNTIFS(Variants!$B:$B,$A6,Variants!$C:$C,J$2)</f>
        <v>0</v>
      </c>
      <c r="K6" s="2" t="n">
        <f aca="false">COUNTIFS(Variants!$B:$B,$A6,Variants!$C:$C,K$2)</f>
        <v>2</v>
      </c>
      <c r="L6" s="2" t="n">
        <f aca="false">COUNTIFS(Variants!$B:$B,$A6,Variants!$C:$C,L$2)</f>
        <v>2</v>
      </c>
      <c r="M6" s="2" t="n">
        <f aca="false">COUNTIFS(Variants!$B:$B,$A6,Variants!$C:$C,M$2)</f>
        <v>2</v>
      </c>
      <c r="N6" s="3" t="n">
        <f aca="false">SUM(B6:M6)</f>
        <v>17</v>
      </c>
    </row>
    <row r="7" customFormat="false" ht="15" hidden="false" customHeight="false" outlineLevel="0" collapsed="false">
      <c r="A7" s="3" t="s">
        <v>33</v>
      </c>
      <c r="B7" s="2" t="n">
        <f aca="false">COUNTIFS(Variants!$B:$B,$A7,Variants!$C:$C,B$2)</f>
        <v>0</v>
      </c>
      <c r="C7" s="2" t="n">
        <f aca="false">COUNTIFS(Variants!$B:$B,$A7,Variants!$C:$C,C$2)</f>
        <v>1</v>
      </c>
      <c r="D7" s="2" t="n">
        <f aca="false">COUNTIFS(Variants!$B:$B,$A7,Variants!$C:$C,D$2)</f>
        <v>1</v>
      </c>
      <c r="E7" s="2" t="n">
        <f aca="false">COUNTIFS(Variants!$B:$B,$A7,Variants!$C:$C,E$2)</f>
        <v>0</v>
      </c>
      <c r="F7" s="2" t="n">
        <f aca="false">COUNTIFS(Variants!$B:$B,$A7,Variants!$C:$C,F$2)</f>
        <v>2</v>
      </c>
      <c r="G7" s="2" t="n">
        <f aca="false">COUNTIFS(Variants!$B:$B,$A7,Variants!$C:$C,G$2)</f>
        <v>2</v>
      </c>
      <c r="H7" s="2" t="n">
        <f aca="false">COUNTIFS(Variants!$B:$B,$A7,Variants!$C:$C,H$2)</f>
        <v>1</v>
      </c>
      <c r="I7" s="2" t="n">
        <f aca="false">COUNTIFS(Variants!$B:$B,$A7,Variants!$C:$C,I$2)</f>
        <v>0</v>
      </c>
      <c r="J7" s="2" t="n">
        <f aca="false">COUNTIFS(Variants!$B:$B,$A7,Variants!$C:$C,J$2)</f>
        <v>0</v>
      </c>
      <c r="K7" s="2" t="n">
        <f aca="false">COUNTIFS(Variants!$B:$B,$A7,Variants!$C:$C,K$2)</f>
        <v>2</v>
      </c>
      <c r="L7" s="2" t="n">
        <f aca="false">COUNTIFS(Variants!$B:$B,$A7,Variants!$C:$C,L$2)</f>
        <v>1</v>
      </c>
      <c r="M7" s="2" t="n">
        <f aca="false">COUNTIFS(Variants!$B:$B,$A7,Variants!$C:$C,M$2)</f>
        <v>0</v>
      </c>
      <c r="N7" s="3" t="n">
        <f aca="false">SUM(B7:M7)</f>
        <v>10</v>
      </c>
    </row>
    <row r="8" customFormat="false" ht="15" hidden="false" customHeight="false" outlineLevel="0" collapsed="false">
      <c r="A8" s="3" t="s">
        <v>34</v>
      </c>
      <c r="B8" s="2" t="n">
        <f aca="false">COUNTIFS(Variants!$B:$B,$A8,Variants!$C:$C,B$2)</f>
        <v>1</v>
      </c>
      <c r="C8" s="2" t="n">
        <f aca="false">COUNTIFS(Variants!$B:$B,$A8,Variants!$C:$C,C$2)</f>
        <v>0</v>
      </c>
      <c r="D8" s="2" t="n">
        <f aca="false">COUNTIFS(Variants!$B:$B,$A8,Variants!$C:$C,D$2)</f>
        <v>0</v>
      </c>
      <c r="E8" s="2" t="n">
        <f aca="false">COUNTIFS(Variants!$B:$B,$A8,Variants!$C:$C,E$2)</f>
        <v>0</v>
      </c>
      <c r="F8" s="2" t="n">
        <f aca="false">COUNTIFS(Variants!$B:$B,$A8,Variants!$C:$C,F$2)</f>
        <v>0</v>
      </c>
      <c r="G8" s="2" t="n">
        <f aca="false">COUNTIFS(Variants!$B:$B,$A8,Variants!$C:$C,G$2)</f>
        <v>0</v>
      </c>
      <c r="H8" s="2" t="n">
        <f aca="false">COUNTIFS(Variants!$B:$B,$A8,Variants!$C:$C,H$2)</f>
        <v>0</v>
      </c>
      <c r="I8" s="2" t="n">
        <f aca="false">COUNTIFS(Variants!$B:$B,$A8,Variants!$C:$C,I$2)</f>
        <v>0</v>
      </c>
      <c r="J8" s="2" t="n">
        <f aca="false">COUNTIFS(Variants!$B:$B,$A8,Variants!$C:$C,J$2)</f>
        <v>0</v>
      </c>
      <c r="K8" s="2" t="n">
        <f aca="false">COUNTIFS(Variants!$B:$B,$A8,Variants!$C:$C,K$2)</f>
        <v>0</v>
      </c>
      <c r="L8" s="2" t="n">
        <f aca="false">COUNTIFS(Variants!$B:$B,$A8,Variants!$C:$C,L$2)</f>
        <v>0</v>
      </c>
      <c r="M8" s="2" t="n">
        <f aca="false">COUNTIFS(Variants!$B:$B,$A8,Variants!$C:$C,M$2)</f>
        <v>0</v>
      </c>
      <c r="N8" s="3" t="n">
        <f aca="false">SUM(B8:M8)</f>
        <v>1</v>
      </c>
    </row>
    <row r="9" customFormat="false" ht="15" hidden="false" customHeight="false" outlineLevel="0" collapsed="false">
      <c r="A9" s="3" t="s">
        <v>28</v>
      </c>
      <c r="B9" s="3" t="n">
        <f aca="false">SUM(B3:B8)</f>
        <v>9</v>
      </c>
      <c r="C9" s="3" t="n">
        <f aca="false">SUM(C3:C8)</f>
        <v>6</v>
      </c>
      <c r="D9" s="3" t="n">
        <f aca="false">SUM(D3:D8)</f>
        <v>9</v>
      </c>
      <c r="E9" s="3" t="n">
        <f aca="false">SUM(E3:E8)</f>
        <v>4</v>
      </c>
      <c r="F9" s="3" t="n">
        <f aca="false">SUM(F3:F8)</f>
        <v>5</v>
      </c>
      <c r="G9" s="3" t="n">
        <f aca="false">SUM(G3:G8)</f>
        <v>7</v>
      </c>
      <c r="H9" s="3" t="n">
        <f aca="false">SUM(H3:H8)</f>
        <v>4</v>
      </c>
      <c r="I9" s="3" t="n">
        <f aca="false">SUM(I3:I8)</f>
        <v>6</v>
      </c>
      <c r="J9" s="3" t="n">
        <f aca="false">SUM(J3:J8)</f>
        <v>0</v>
      </c>
      <c r="K9" s="3" t="n">
        <f aca="false">SUM(K3:K8)</f>
        <v>15</v>
      </c>
      <c r="L9" s="3" t="n">
        <f aca="false">SUM(L3:L8)</f>
        <v>5</v>
      </c>
      <c r="M9" s="3" t="n">
        <f aca="false">SUM(M3:M8)</f>
        <v>5</v>
      </c>
      <c r="N9" s="3" t="n">
        <f aca="false">SUM(N3:N8)</f>
        <v>75</v>
      </c>
    </row>
    <row r="12" customFormat="false" ht="15" hidden="false" customHeight="false" outlineLevel="0" collapsed="false">
      <c r="A12" s="3" t="s">
        <v>35</v>
      </c>
    </row>
    <row r="13" customFormat="false" ht="15" hidden="false" customHeight="false" outlineLevel="0" collapsed="false">
      <c r="A13" s="4" t="s">
        <v>15</v>
      </c>
      <c r="B13" s="4" t="s">
        <v>16</v>
      </c>
      <c r="C13" s="4" t="s">
        <v>17</v>
      </c>
      <c r="D13" s="4" t="s">
        <v>18</v>
      </c>
      <c r="E13" s="4" t="s">
        <v>19</v>
      </c>
      <c r="F13" s="4" t="s">
        <v>20</v>
      </c>
      <c r="G13" s="4" t="s">
        <v>21</v>
      </c>
      <c r="H13" s="4" t="s">
        <v>22</v>
      </c>
      <c r="I13" s="4" t="s">
        <v>23</v>
      </c>
      <c r="J13" s="4" t="s">
        <v>24</v>
      </c>
      <c r="K13" s="4" t="s">
        <v>25</v>
      </c>
      <c r="L13" s="4" t="s">
        <v>26</v>
      </c>
      <c r="M13" s="4" t="s">
        <v>27</v>
      </c>
      <c r="N13" s="4" t="s">
        <v>28</v>
      </c>
    </row>
    <row r="14" customFormat="false" ht="15" hidden="false" customHeight="false" outlineLevel="0" collapsed="false">
      <c r="A14" s="3" t="s">
        <v>29</v>
      </c>
      <c r="B14" s="2" t="n">
        <f aca="false">COUNTIFS(LEs!$B:$B,$A14,LEs!$C:$C,B$13)</f>
        <v>0</v>
      </c>
      <c r="C14" s="2" t="n">
        <f aca="false">COUNTIFS(LEs!$B:$B,$A14,LEs!$C:$C,C$13)</f>
        <v>1</v>
      </c>
      <c r="D14" s="2" t="n">
        <f aca="false">COUNTIFS(LEs!$B:$B,$A14,LEs!$C:$C,D$13)</f>
        <v>0</v>
      </c>
      <c r="E14" s="2" t="n">
        <f aca="false">COUNTIFS(LEs!$B:$B,$A14,LEs!$C:$C,E$13)</f>
        <v>0</v>
      </c>
      <c r="F14" s="2" t="n">
        <f aca="false">COUNTIFS(LEs!$B:$B,$A14,LEs!$C:$C,F$13)</f>
        <v>0</v>
      </c>
      <c r="G14" s="2" t="n">
        <f aca="false">COUNTIFS(LEs!$B:$B,$A14,LEs!$C:$C,G$13)</f>
        <v>0</v>
      </c>
      <c r="H14" s="2" t="n">
        <f aca="false">COUNTIFS(LEs!$B:$B,$A14,LEs!$C:$C,H$13)</f>
        <v>0</v>
      </c>
      <c r="I14" s="2" t="n">
        <f aca="false">COUNTIFS(LEs!$B:$B,$A14,LEs!$C:$C,I$13)</f>
        <v>0</v>
      </c>
      <c r="J14" s="2" t="n">
        <f aca="false">COUNTIFS(LEs!$B:$B,$A14,LEs!$C:$C,J$13)</f>
        <v>0</v>
      </c>
      <c r="K14" s="2" t="n">
        <f aca="false">COUNTIFS(LEs!$B:$B,$A14,LEs!$C:$C,K$13)</f>
        <v>1</v>
      </c>
      <c r="L14" s="2" t="n">
        <f aca="false">COUNTIFS(LEs!$B:$B,$A14,LEs!$C:$C,L$13)</f>
        <v>0</v>
      </c>
      <c r="M14" s="2" t="n">
        <f aca="false">COUNTIFS(LEs!$B:$B,$A14,LEs!$C:$C,M$13)</f>
        <v>0</v>
      </c>
      <c r="N14" s="3" t="n">
        <f aca="false">SUM(B14:M14)</f>
        <v>2</v>
      </c>
    </row>
    <row r="15" customFormat="false" ht="15" hidden="false" customHeight="false" outlineLevel="0" collapsed="false">
      <c r="A15" s="3" t="s">
        <v>30</v>
      </c>
      <c r="B15" s="2" t="n">
        <f aca="false">COUNTIFS(LEs!$B:$B,$A15,LEs!$C:$C,B$13)</f>
        <v>0</v>
      </c>
      <c r="C15" s="2" t="n">
        <f aca="false">COUNTIFS(LEs!$B:$B,$A15,LEs!$C:$C,C$13)</f>
        <v>0</v>
      </c>
      <c r="D15" s="2" t="n">
        <f aca="false">COUNTIFS(LEs!$B:$B,$A15,LEs!$C:$C,D$13)</f>
        <v>0</v>
      </c>
      <c r="E15" s="2" t="n">
        <f aca="false">COUNTIFS(LEs!$B:$B,$A15,LEs!$C:$C,E$13)</f>
        <v>1</v>
      </c>
      <c r="F15" s="2" t="n">
        <f aca="false">COUNTIFS(LEs!$B:$B,$A15,LEs!$C:$C,F$13)</f>
        <v>0</v>
      </c>
      <c r="G15" s="2" t="n">
        <f aca="false">COUNTIFS(LEs!$B:$B,$A15,LEs!$C:$C,G$13)</f>
        <v>0</v>
      </c>
      <c r="H15" s="2" t="n">
        <f aca="false">COUNTIFS(LEs!$B:$B,$A15,LEs!$C:$C,H$13)</f>
        <v>1</v>
      </c>
      <c r="I15" s="2" t="n">
        <f aca="false">COUNTIFS(LEs!$B:$B,$A15,LEs!$C:$C,I$13)</f>
        <v>0</v>
      </c>
      <c r="J15" s="2" t="n">
        <f aca="false">COUNTIFS(LEs!$B:$B,$A15,LEs!$C:$C,J$13)</f>
        <v>0</v>
      </c>
      <c r="K15" s="2" t="n">
        <f aca="false">COUNTIFS(LEs!$B:$B,$A15,LEs!$C:$C,K$13)</f>
        <v>3</v>
      </c>
      <c r="L15" s="2" t="n">
        <f aca="false">COUNTIFS(LEs!$B:$B,$A15,LEs!$C:$C,L$13)</f>
        <v>0</v>
      </c>
      <c r="M15" s="2" t="n">
        <f aca="false">COUNTIFS(LEs!$B:$B,$A15,LEs!$C:$C,M$13)</f>
        <v>1</v>
      </c>
      <c r="N15" s="3" t="n">
        <f aca="false">SUM(B15:M15)</f>
        <v>6</v>
      </c>
    </row>
    <row r="16" customFormat="false" ht="15" hidden="false" customHeight="false" outlineLevel="0" collapsed="false">
      <c r="A16" s="3" t="s">
        <v>31</v>
      </c>
      <c r="B16" s="2" t="n">
        <f aca="false">COUNTIFS(LEs!$B:$B,$A16,LEs!$C:$C,B$13)</f>
        <v>0</v>
      </c>
      <c r="C16" s="2" t="n">
        <f aca="false">COUNTIFS(LEs!$B:$B,$A16,LEs!$C:$C,C$13)</f>
        <v>0</v>
      </c>
      <c r="D16" s="2" t="n">
        <f aca="false">COUNTIFS(LEs!$B:$B,$A16,LEs!$C:$C,D$13)</f>
        <v>1</v>
      </c>
      <c r="E16" s="2" t="n">
        <f aca="false">COUNTIFS(LEs!$B:$B,$A16,LEs!$C:$C,E$13)</f>
        <v>1</v>
      </c>
      <c r="F16" s="2" t="n">
        <f aca="false">COUNTIFS(LEs!$B:$B,$A16,LEs!$C:$C,F$13)</f>
        <v>0</v>
      </c>
      <c r="G16" s="2" t="n">
        <f aca="false">COUNTIFS(LEs!$B:$B,$A16,LEs!$C:$C,G$13)</f>
        <v>0</v>
      </c>
      <c r="H16" s="2" t="n">
        <f aca="false">COUNTIFS(LEs!$B:$B,$A16,LEs!$C:$C,H$13)</f>
        <v>1</v>
      </c>
      <c r="I16" s="2" t="n">
        <f aca="false">COUNTIFS(LEs!$B:$B,$A16,LEs!$C:$C,I$13)</f>
        <v>1</v>
      </c>
      <c r="J16" s="2" t="n">
        <f aca="false">COUNTIFS(LEs!$B:$B,$A16,LEs!$C:$C,J$13)</f>
        <v>0</v>
      </c>
      <c r="K16" s="2" t="n">
        <f aca="false">COUNTIFS(LEs!$B:$B,$A16,LEs!$C:$C,K$13)</f>
        <v>1</v>
      </c>
      <c r="L16" s="2" t="n">
        <f aca="false">COUNTIFS(LEs!$B:$B,$A16,LEs!$C:$C,L$13)</f>
        <v>0</v>
      </c>
      <c r="M16" s="2" t="n">
        <f aca="false">COUNTIFS(LEs!$B:$B,$A16,LEs!$C:$C,M$13)</f>
        <v>1</v>
      </c>
      <c r="N16" s="3" t="n">
        <f aca="false">SUM(B16:M16)</f>
        <v>6</v>
      </c>
    </row>
    <row r="17" customFormat="false" ht="15" hidden="false" customHeight="false" outlineLevel="0" collapsed="false">
      <c r="A17" s="3" t="s">
        <v>32</v>
      </c>
      <c r="B17" s="2" t="n">
        <f aca="false">COUNTIFS(LEs!$B:$B,$A17,LEs!$C:$C,B$13)</f>
        <v>0</v>
      </c>
      <c r="C17" s="2" t="n">
        <f aca="false">COUNTIFS(LEs!$B:$B,$A17,LEs!$C:$C,C$13)</f>
        <v>0</v>
      </c>
      <c r="D17" s="2" t="n">
        <f aca="false">COUNTIFS(LEs!$B:$B,$A17,LEs!$C:$C,D$13)</f>
        <v>0</v>
      </c>
      <c r="E17" s="2" t="n">
        <f aca="false">COUNTIFS(LEs!$B:$B,$A17,LEs!$C:$C,E$13)</f>
        <v>0</v>
      </c>
      <c r="F17" s="2" t="n">
        <f aca="false">COUNTIFS(LEs!$B:$B,$A17,LEs!$C:$C,F$13)</f>
        <v>0</v>
      </c>
      <c r="G17" s="2" t="n">
        <f aca="false">COUNTIFS(LEs!$B:$B,$A17,LEs!$C:$C,G$13)</f>
        <v>0</v>
      </c>
      <c r="H17" s="2" t="n">
        <f aca="false">COUNTIFS(LEs!$B:$B,$A17,LEs!$C:$C,H$13)</f>
        <v>0</v>
      </c>
      <c r="I17" s="2" t="n">
        <f aca="false">COUNTIFS(LEs!$B:$B,$A17,LEs!$C:$C,I$13)</f>
        <v>1</v>
      </c>
      <c r="J17" s="2" t="n">
        <f aca="false">COUNTIFS(LEs!$B:$B,$A17,LEs!$C:$C,J$13)</f>
        <v>0</v>
      </c>
      <c r="K17" s="2" t="n">
        <f aca="false">COUNTIFS(LEs!$B:$B,$A17,LEs!$C:$C,K$13)</f>
        <v>1</v>
      </c>
      <c r="L17" s="2" t="n">
        <f aca="false">COUNTIFS(LEs!$B:$B,$A17,LEs!$C:$C,L$13)</f>
        <v>2</v>
      </c>
      <c r="M17" s="2" t="n">
        <f aca="false">COUNTIFS(LEs!$B:$B,$A17,LEs!$C:$C,M$13)</f>
        <v>0</v>
      </c>
      <c r="N17" s="3" t="n">
        <f aca="false">SUM(B17:M17)</f>
        <v>4</v>
      </c>
    </row>
    <row r="18" customFormat="false" ht="15" hidden="false" customHeight="false" outlineLevel="0" collapsed="false">
      <c r="A18" s="3" t="s">
        <v>33</v>
      </c>
      <c r="B18" s="2" t="n">
        <f aca="false">COUNTIFS(LEs!$B:$B,$A18,LEs!$C:$C,B$13)</f>
        <v>0</v>
      </c>
      <c r="C18" s="2" t="n">
        <f aca="false">COUNTIFS(LEs!$B:$B,$A18,LEs!$C:$C,C$13)</f>
        <v>0</v>
      </c>
      <c r="D18" s="2" t="n">
        <f aca="false">COUNTIFS(LEs!$B:$B,$A18,LEs!$C:$C,D$13)</f>
        <v>1</v>
      </c>
      <c r="E18" s="2" t="n">
        <f aca="false">COUNTIFS(LEs!$B:$B,$A18,LEs!$C:$C,E$13)</f>
        <v>0</v>
      </c>
      <c r="F18" s="2" t="n">
        <f aca="false">COUNTIFS(LEs!$B:$B,$A18,LEs!$C:$C,F$13)</f>
        <v>0</v>
      </c>
      <c r="G18" s="2" t="n">
        <f aca="false">COUNTIFS(LEs!$B:$B,$A18,LEs!$C:$C,G$13)</f>
        <v>1</v>
      </c>
      <c r="H18" s="2" t="n">
        <f aca="false">COUNTIFS(LEs!$B:$B,$A18,LEs!$C:$C,H$13)</f>
        <v>0</v>
      </c>
      <c r="I18" s="2" t="n">
        <f aca="false">COUNTIFS(LEs!$B:$B,$A18,LEs!$C:$C,I$13)</f>
        <v>0</v>
      </c>
      <c r="J18" s="2" t="n">
        <f aca="false">COUNTIFS(LEs!$B:$B,$A18,LEs!$C:$C,J$13)</f>
        <v>0</v>
      </c>
      <c r="K18" s="2" t="n">
        <f aca="false">COUNTIFS(LEs!$B:$B,$A18,LEs!$C:$C,K$13)</f>
        <v>1</v>
      </c>
      <c r="L18" s="2" t="n">
        <f aca="false">COUNTIFS(LEs!$B:$B,$A18,LEs!$C:$C,L$13)</f>
        <v>0</v>
      </c>
      <c r="M18" s="2" t="n">
        <f aca="false">COUNTIFS(LEs!$B:$B,$A18,LEs!$C:$C,M$13)</f>
        <v>0</v>
      </c>
      <c r="N18" s="3" t="n">
        <f aca="false">SUM(B18:M18)</f>
        <v>3</v>
      </c>
    </row>
    <row r="19" customFormat="false" ht="15" hidden="false" customHeight="false" outlineLevel="0" collapsed="false">
      <c r="A19" s="3" t="s">
        <v>34</v>
      </c>
      <c r="B19" s="2" t="n">
        <f aca="false">COUNTIFS(LEs!$B:$B,$A19,LEs!$C:$C,B$13)</f>
        <v>0</v>
      </c>
      <c r="C19" s="2" t="n">
        <f aca="false">COUNTIFS(LEs!$B:$B,$A19,LEs!$C:$C,C$13)</f>
        <v>0</v>
      </c>
      <c r="D19" s="2" t="n">
        <f aca="false">COUNTIFS(LEs!$B:$B,$A19,LEs!$C:$C,D$13)</f>
        <v>0</v>
      </c>
      <c r="E19" s="2" t="n">
        <f aca="false">COUNTIFS(LEs!$B:$B,$A19,LEs!$C:$C,E$13)</f>
        <v>0</v>
      </c>
      <c r="F19" s="2" t="n">
        <f aca="false">COUNTIFS(LEs!$B:$B,$A19,LEs!$C:$C,F$13)</f>
        <v>0</v>
      </c>
      <c r="G19" s="2" t="n">
        <f aca="false">COUNTIFS(LEs!$B:$B,$A19,LEs!$C:$C,G$13)</f>
        <v>0</v>
      </c>
      <c r="H19" s="2" t="n">
        <f aca="false">COUNTIFS(LEs!$B:$B,$A19,LEs!$C:$C,H$13)</f>
        <v>0</v>
      </c>
      <c r="I19" s="2" t="n">
        <f aca="false">COUNTIFS(LEs!$B:$B,$A19,LEs!$C:$C,I$13)</f>
        <v>0</v>
      </c>
      <c r="J19" s="2" t="n">
        <f aca="false">COUNTIFS(LEs!$B:$B,$A19,LEs!$C:$C,J$13)</f>
        <v>0</v>
      </c>
      <c r="K19" s="2" t="n">
        <f aca="false">COUNTIFS(LEs!$B:$B,$A19,LEs!$C:$C,K$13)</f>
        <v>0</v>
      </c>
      <c r="L19" s="2" t="n">
        <f aca="false">COUNTIFS(LEs!$B:$B,$A19,LEs!$C:$C,L$13)</f>
        <v>0</v>
      </c>
      <c r="M19" s="2" t="n">
        <f aca="false">COUNTIFS(LEs!$B:$B,$A19,LEs!$C:$C,M$13)</f>
        <v>0</v>
      </c>
      <c r="N19" s="3" t="n">
        <f aca="false">SUM(B19:M19)</f>
        <v>0</v>
      </c>
    </row>
    <row r="20" customFormat="false" ht="15" hidden="false" customHeight="false" outlineLevel="0" collapsed="false">
      <c r="A20" s="3" t="s">
        <v>28</v>
      </c>
      <c r="B20" s="3" t="n">
        <f aca="false">SUM(B14:B19)</f>
        <v>0</v>
      </c>
      <c r="C20" s="3" t="n">
        <f aca="false">SUM(C14:C19)</f>
        <v>1</v>
      </c>
      <c r="D20" s="3" t="n">
        <f aca="false">SUM(D14:D19)</f>
        <v>2</v>
      </c>
      <c r="E20" s="3" t="n">
        <f aca="false">SUM(E14:E19)</f>
        <v>2</v>
      </c>
      <c r="F20" s="3" t="n">
        <f aca="false">SUM(F14:F19)</f>
        <v>0</v>
      </c>
      <c r="G20" s="3" t="n">
        <f aca="false">SUM(G14:G19)</f>
        <v>1</v>
      </c>
      <c r="H20" s="3" t="n">
        <f aca="false">SUM(H14:H19)</f>
        <v>2</v>
      </c>
      <c r="I20" s="3" t="n">
        <f aca="false">SUM(I14:I19)</f>
        <v>2</v>
      </c>
      <c r="J20" s="3" t="n">
        <f aca="false">SUM(J14:J19)</f>
        <v>0</v>
      </c>
      <c r="K20" s="3" t="n">
        <f aca="false">SUM(K14:K19)</f>
        <v>7</v>
      </c>
      <c r="L20" s="3" t="n">
        <f aca="false">SUM(L14:L19)</f>
        <v>2</v>
      </c>
      <c r="M20" s="3" t="n">
        <f aca="false">SUM(M14:M19)</f>
        <v>2</v>
      </c>
      <c r="N20" s="3" t="n">
        <f aca="false">SUM(N14:N19)</f>
        <v>21</v>
      </c>
    </row>
    <row r="23" customFormat="false" ht="15" hidden="false" customHeight="false" outlineLevel="0" collapsed="false">
      <c r="A23" s="3" t="s">
        <v>36</v>
      </c>
    </row>
    <row r="24" customFormat="false" ht="15" hidden="false" customHeight="false" outlineLevel="0" collapsed="false">
      <c r="A24" s="4" t="s">
        <v>15</v>
      </c>
      <c r="B24" s="4" t="s">
        <v>16</v>
      </c>
      <c r="C24" s="4" t="s">
        <v>17</v>
      </c>
      <c r="D24" s="4" t="s">
        <v>18</v>
      </c>
      <c r="E24" s="4" t="s">
        <v>19</v>
      </c>
      <c r="F24" s="4" t="s">
        <v>20</v>
      </c>
      <c r="G24" s="4" t="s">
        <v>21</v>
      </c>
      <c r="H24" s="4" t="s">
        <v>22</v>
      </c>
      <c r="I24" s="4" t="s">
        <v>23</v>
      </c>
      <c r="J24" s="4" t="s">
        <v>24</v>
      </c>
      <c r="K24" s="4" t="s">
        <v>25</v>
      </c>
      <c r="L24" s="4" t="s">
        <v>26</v>
      </c>
      <c r="M24" s="4" t="s">
        <v>27</v>
      </c>
      <c r="N24" s="4" t="s">
        <v>28</v>
      </c>
    </row>
    <row r="25" customFormat="false" ht="15" hidden="false" customHeight="false" outlineLevel="0" collapsed="false">
      <c r="A25" s="3" t="s">
        <v>29</v>
      </c>
      <c r="B25" s="2" t="n">
        <f aca="false">COUNTIFS('Buy over 5000'!$B:$B,$A25,'Buy over 5000'!$C:$C,B$24)</f>
        <v>0</v>
      </c>
      <c r="C25" s="2" t="n">
        <f aca="false">COUNTIFS('Buy over 5000'!$B:$B,$A25,'Buy over 5000'!$C:$C,C$24)</f>
        <v>0</v>
      </c>
      <c r="D25" s="2" t="n">
        <f aca="false">COUNTIFS('Buy over 5000'!$B:$B,$A25,'Buy over 5000'!$C:$C,D$24)</f>
        <v>0</v>
      </c>
      <c r="E25" s="2" t="n">
        <f aca="false">COUNTIFS('Buy over 5000'!$B:$B,$A25,'Buy over 5000'!$C:$C,E$24)</f>
        <v>0</v>
      </c>
      <c r="F25" s="2" t="n">
        <f aca="false">COUNTIFS('Buy over 5000'!$B:$B,$A25,'Buy over 5000'!$C:$C,F$24)</f>
        <v>0</v>
      </c>
      <c r="G25" s="2" t="n">
        <f aca="false">COUNTIFS('Buy over 5000'!$B:$B,$A25,'Buy over 5000'!$C:$C,G$24)</f>
        <v>0</v>
      </c>
      <c r="H25" s="2" t="n">
        <f aca="false">COUNTIFS('Buy over 5000'!$B:$B,$A25,'Buy over 5000'!$C:$C,H$24)</f>
        <v>0</v>
      </c>
      <c r="I25" s="2" t="n">
        <f aca="false">COUNTIFS('Buy over 5000'!$B:$B,$A25,'Buy over 5000'!$C:$C,I$24)</f>
        <v>0</v>
      </c>
      <c r="J25" s="2" t="n">
        <f aca="false">COUNTIFS('Buy over 5000'!$B:$B,$A25,'Buy over 5000'!$C:$C,J$24)</f>
        <v>0</v>
      </c>
      <c r="K25" s="2" t="n">
        <f aca="false">COUNTIFS('Buy over 5000'!$B:$B,$A25,'Buy over 5000'!$C:$C,K$24)</f>
        <v>2</v>
      </c>
      <c r="L25" s="2" t="n">
        <f aca="false">COUNTIFS('Buy over 5000'!$B:$B,$A25,'Buy over 5000'!$C:$C,L$24)</f>
        <v>0</v>
      </c>
      <c r="M25" s="2" t="n">
        <f aca="false">COUNTIFS('Buy over 5000'!$B:$B,$A25,'Buy over 5000'!$C:$C,M$24)</f>
        <v>0</v>
      </c>
      <c r="N25" s="3" t="n">
        <f aca="false">SUM(B25:M25)</f>
        <v>2</v>
      </c>
    </row>
    <row r="26" customFormat="false" ht="15" hidden="false" customHeight="false" outlineLevel="0" collapsed="false">
      <c r="A26" s="3" t="s">
        <v>30</v>
      </c>
      <c r="B26" s="2" t="n">
        <f aca="false">COUNTIFS('Buy over 5000'!$B:$B,$A26,'Buy over 5000'!$C:$C,B$24)</f>
        <v>0</v>
      </c>
      <c r="C26" s="2" t="n">
        <f aca="false">COUNTIFS('Buy over 5000'!$B:$B,$A26,'Buy over 5000'!$C:$C,C$24)</f>
        <v>1</v>
      </c>
      <c r="D26" s="2" t="n">
        <f aca="false">COUNTIFS('Buy over 5000'!$B:$B,$A26,'Buy over 5000'!$C:$C,D$24)</f>
        <v>0</v>
      </c>
      <c r="E26" s="2" t="n">
        <f aca="false">COUNTIFS('Buy over 5000'!$B:$B,$A26,'Buy over 5000'!$C:$C,E$24)</f>
        <v>1</v>
      </c>
      <c r="F26" s="2" t="n">
        <f aca="false">COUNTIFS('Buy over 5000'!$B:$B,$A26,'Buy over 5000'!$C:$C,F$24)</f>
        <v>0</v>
      </c>
      <c r="G26" s="2" t="n">
        <f aca="false">COUNTIFS('Buy over 5000'!$B:$B,$A26,'Buy over 5000'!$C:$C,G$24)</f>
        <v>1</v>
      </c>
      <c r="H26" s="2" t="n">
        <f aca="false">COUNTIFS('Buy over 5000'!$B:$B,$A26,'Buy over 5000'!$C:$C,H$24)</f>
        <v>0</v>
      </c>
      <c r="I26" s="2" t="n">
        <f aca="false">COUNTIFS('Buy over 5000'!$B:$B,$A26,'Buy over 5000'!$C:$C,I$24)</f>
        <v>0</v>
      </c>
      <c r="J26" s="2" t="n">
        <f aca="false">COUNTIFS('Buy over 5000'!$B:$B,$A26,'Buy over 5000'!$C:$C,J$24)</f>
        <v>0</v>
      </c>
      <c r="K26" s="2" t="n">
        <f aca="false">COUNTIFS('Buy over 5000'!$B:$B,$A26,'Buy over 5000'!$C:$C,K$24)</f>
        <v>0</v>
      </c>
      <c r="L26" s="2" t="n">
        <f aca="false">COUNTIFS('Buy over 5000'!$B:$B,$A26,'Buy over 5000'!$C:$C,L$24)</f>
        <v>0</v>
      </c>
      <c r="M26" s="2" t="n">
        <f aca="false">COUNTIFS('Buy over 5000'!$B:$B,$A26,'Buy over 5000'!$C:$C,M$24)</f>
        <v>1</v>
      </c>
      <c r="N26" s="3" t="n">
        <f aca="false">SUM(B26:M26)</f>
        <v>4</v>
      </c>
    </row>
    <row r="27" customFormat="false" ht="15" hidden="false" customHeight="false" outlineLevel="0" collapsed="false">
      <c r="A27" s="3" t="s">
        <v>31</v>
      </c>
      <c r="B27" s="2" t="n">
        <f aca="false">COUNTIFS('Buy over 5000'!$B:$B,$A27,'Buy over 5000'!$C:$C,B$24)</f>
        <v>0</v>
      </c>
      <c r="C27" s="2" t="n">
        <f aca="false">COUNTIFS('Buy over 5000'!$B:$B,$A27,'Buy over 5000'!$C:$C,C$24)</f>
        <v>0</v>
      </c>
      <c r="D27" s="2" t="n">
        <f aca="false">COUNTIFS('Buy over 5000'!$B:$B,$A27,'Buy over 5000'!$C:$C,D$24)</f>
        <v>0</v>
      </c>
      <c r="E27" s="2" t="n">
        <f aca="false">COUNTIFS('Buy over 5000'!$B:$B,$A27,'Buy over 5000'!$C:$C,E$24)</f>
        <v>1</v>
      </c>
      <c r="F27" s="2" t="n">
        <f aca="false">COUNTIFS('Buy over 5000'!$B:$B,$A27,'Buy over 5000'!$C:$C,F$24)</f>
        <v>1</v>
      </c>
      <c r="G27" s="2" t="n">
        <f aca="false">COUNTIFS('Buy over 5000'!$B:$B,$A27,'Buy over 5000'!$C:$C,G$24)</f>
        <v>0</v>
      </c>
      <c r="H27" s="2" t="n">
        <f aca="false">COUNTIFS('Buy over 5000'!$B:$B,$A27,'Buy over 5000'!$C:$C,H$24)</f>
        <v>1</v>
      </c>
      <c r="I27" s="2" t="n">
        <f aca="false">COUNTIFS('Buy over 5000'!$B:$B,$A27,'Buy over 5000'!$C:$C,I$24)</f>
        <v>1</v>
      </c>
      <c r="J27" s="2" t="n">
        <f aca="false">COUNTIFS('Buy over 5000'!$B:$B,$A27,'Buy over 5000'!$C:$C,J$24)</f>
        <v>0</v>
      </c>
      <c r="K27" s="2" t="n">
        <f aca="false">COUNTIFS('Buy over 5000'!$B:$B,$A27,'Buy over 5000'!$C:$C,K$24)</f>
        <v>1</v>
      </c>
      <c r="L27" s="2" t="n">
        <f aca="false">COUNTIFS('Buy over 5000'!$B:$B,$A27,'Buy over 5000'!$C:$C,L$24)</f>
        <v>0</v>
      </c>
      <c r="M27" s="2" t="n">
        <f aca="false">COUNTIFS('Buy over 5000'!$B:$B,$A27,'Buy over 5000'!$C:$C,M$24)</f>
        <v>2</v>
      </c>
      <c r="N27" s="3" t="n">
        <f aca="false">SUM(B27:M27)</f>
        <v>7</v>
      </c>
    </row>
    <row r="28" customFormat="false" ht="15" hidden="false" customHeight="false" outlineLevel="0" collapsed="false">
      <c r="A28" s="3" t="s">
        <v>32</v>
      </c>
      <c r="B28" s="2" t="n">
        <f aca="false">COUNTIFS('Buy over 5000'!$B:$B,$A28,'Buy over 5000'!$C:$C,B$24)</f>
        <v>0</v>
      </c>
      <c r="C28" s="2" t="n">
        <f aca="false">COUNTIFS('Buy over 5000'!$B:$B,$A28,'Buy over 5000'!$C:$C,C$24)</f>
        <v>0</v>
      </c>
      <c r="D28" s="2" t="n">
        <f aca="false">COUNTIFS('Buy over 5000'!$B:$B,$A28,'Buy over 5000'!$C:$C,D$24)</f>
        <v>0</v>
      </c>
      <c r="E28" s="2" t="n">
        <f aca="false">COUNTIFS('Buy over 5000'!$B:$B,$A28,'Buy over 5000'!$C:$C,E$24)</f>
        <v>0</v>
      </c>
      <c r="F28" s="2" t="n">
        <f aca="false">COUNTIFS('Buy over 5000'!$B:$B,$A28,'Buy over 5000'!$C:$C,F$24)</f>
        <v>1</v>
      </c>
      <c r="G28" s="2" t="n">
        <f aca="false">COUNTIFS('Buy over 5000'!$B:$B,$A28,'Buy over 5000'!$C:$C,G$24)</f>
        <v>0</v>
      </c>
      <c r="H28" s="2" t="n">
        <f aca="false">COUNTIFS('Buy over 5000'!$B:$B,$A28,'Buy over 5000'!$C:$C,H$24)</f>
        <v>2</v>
      </c>
      <c r="I28" s="2" t="n">
        <f aca="false">COUNTIFS('Buy over 5000'!$B:$B,$A28,'Buy over 5000'!$C:$C,I$24)</f>
        <v>1</v>
      </c>
      <c r="J28" s="2" t="n">
        <f aca="false">COUNTIFS('Buy over 5000'!$B:$B,$A28,'Buy over 5000'!$C:$C,J$24)</f>
        <v>0</v>
      </c>
      <c r="K28" s="2" t="n">
        <f aca="false">COUNTIFS('Buy over 5000'!$B:$B,$A28,'Buy over 5000'!$C:$C,K$24)</f>
        <v>3</v>
      </c>
      <c r="L28" s="2" t="n">
        <f aca="false">COUNTIFS('Buy over 5000'!$B:$B,$A28,'Buy over 5000'!$C:$C,L$24)</f>
        <v>1</v>
      </c>
      <c r="M28" s="2" t="n">
        <f aca="false">COUNTIFS('Buy over 5000'!$B:$B,$A28,'Buy over 5000'!$C:$C,M$24)</f>
        <v>0</v>
      </c>
      <c r="N28" s="3" t="n">
        <f aca="false">SUM(B28:M28)</f>
        <v>8</v>
      </c>
    </row>
    <row r="29" customFormat="false" ht="15" hidden="false" customHeight="false" outlineLevel="0" collapsed="false">
      <c r="A29" s="3" t="s">
        <v>33</v>
      </c>
      <c r="B29" s="2" t="n">
        <f aca="false">COUNTIFS('Buy over 5000'!$B:$B,$A29,'Buy over 5000'!$C:$C,B$24)</f>
        <v>1</v>
      </c>
      <c r="C29" s="2" t="n">
        <f aca="false">COUNTIFS('Buy over 5000'!$B:$B,$A29,'Buy over 5000'!$C:$C,C$24)</f>
        <v>3</v>
      </c>
      <c r="D29" s="2" t="n">
        <f aca="false">COUNTIFS('Buy over 5000'!$B:$B,$A29,'Buy over 5000'!$C:$C,D$24)</f>
        <v>1</v>
      </c>
      <c r="E29" s="2" t="n">
        <f aca="false">COUNTIFS('Buy over 5000'!$B:$B,$A29,'Buy over 5000'!$C:$C,E$24)</f>
        <v>2</v>
      </c>
      <c r="F29" s="2" t="n">
        <f aca="false">COUNTIFS('Buy over 5000'!$B:$B,$A29,'Buy over 5000'!$C:$C,F$24)</f>
        <v>9</v>
      </c>
      <c r="G29" s="2" t="n">
        <f aca="false">COUNTIFS('Buy over 5000'!$B:$B,$A29,'Buy over 5000'!$C:$C,G$24)</f>
        <v>2</v>
      </c>
      <c r="H29" s="2" t="n">
        <f aca="false">COUNTIFS('Buy over 5000'!$B:$B,$A29,'Buy over 5000'!$C:$C,H$24)</f>
        <v>3</v>
      </c>
      <c r="I29" s="2" t="n">
        <f aca="false">COUNTIFS('Buy over 5000'!$B:$B,$A29,'Buy over 5000'!$C:$C,I$24)</f>
        <v>3</v>
      </c>
      <c r="J29" s="2" t="n">
        <f aca="false">COUNTIFS('Buy over 5000'!$B:$B,$A29,'Buy over 5000'!$C:$C,J$24)</f>
        <v>0</v>
      </c>
      <c r="K29" s="2" t="n">
        <f aca="false">COUNTIFS('Buy over 5000'!$B:$B,$A29,'Buy over 5000'!$C:$C,K$24)</f>
        <v>10</v>
      </c>
      <c r="L29" s="2" t="n">
        <f aca="false">COUNTIFS('Buy over 5000'!$B:$B,$A29,'Buy over 5000'!$C:$C,L$24)</f>
        <v>5</v>
      </c>
      <c r="M29" s="2" t="n">
        <f aca="false">COUNTIFS('Buy over 5000'!$B:$B,$A29,'Buy over 5000'!$C:$C,M$24)</f>
        <v>2</v>
      </c>
      <c r="N29" s="3" t="n">
        <f aca="false">SUM(B29:M29)</f>
        <v>41</v>
      </c>
    </row>
    <row r="30" customFormat="false" ht="15" hidden="false" customHeight="false" outlineLevel="0" collapsed="false">
      <c r="A30" s="3" t="s">
        <v>34</v>
      </c>
      <c r="B30" s="2" t="n">
        <f aca="false">COUNTIFS('Buy over 5000'!$B:$B,$A30,'Buy over 5000'!$C:$C,B$24)</f>
        <v>1</v>
      </c>
      <c r="C30" s="2" t="n">
        <f aca="false">COUNTIFS('Buy over 5000'!$B:$B,$A30,'Buy over 5000'!$C:$C,C$24)</f>
        <v>2</v>
      </c>
      <c r="D30" s="2" t="n">
        <f aca="false">COUNTIFS('Buy over 5000'!$B:$B,$A30,'Buy over 5000'!$C:$C,D$24)</f>
        <v>3</v>
      </c>
      <c r="E30" s="2" t="n">
        <f aca="false">COUNTIFS('Buy over 5000'!$B:$B,$A30,'Buy over 5000'!$C:$C,E$24)</f>
        <v>3</v>
      </c>
      <c r="F30" s="2" t="n">
        <f aca="false">COUNTIFS('Buy over 5000'!$B:$B,$A30,'Buy over 5000'!$C:$C,F$24)</f>
        <v>2</v>
      </c>
      <c r="G30" s="2" t="n">
        <f aca="false">COUNTIFS('Buy over 5000'!$B:$B,$A30,'Buy over 5000'!$C:$C,G$24)</f>
        <v>1</v>
      </c>
      <c r="H30" s="2" t="n">
        <f aca="false">COUNTIFS('Buy over 5000'!$B:$B,$A30,'Buy over 5000'!$C:$C,H$24)</f>
        <v>1</v>
      </c>
      <c r="I30" s="2" t="n">
        <f aca="false">COUNTIFS('Buy over 5000'!$B:$B,$A30,'Buy over 5000'!$C:$C,I$24)</f>
        <v>3</v>
      </c>
      <c r="J30" s="2" t="n">
        <f aca="false">COUNTIFS('Buy over 5000'!$B:$B,$A30,'Buy over 5000'!$C:$C,J$24)</f>
        <v>0</v>
      </c>
      <c r="K30" s="2" t="n">
        <f aca="false">COUNTIFS('Buy over 5000'!$B:$B,$A30,'Buy over 5000'!$C:$C,K$24)</f>
        <v>17</v>
      </c>
      <c r="L30" s="2" t="n">
        <f aca="false">COUNTIFS('Buy over 5000'!$B:$B,$A30,'Buy over 5000'!$C:$C,L$24)</f>
        <v>0</v>
      </c>
      <c r="M30" s="2" t="n">
        <f aca="false">COUNTIFS('Buy over 5000'!$B:$B,$A30,'Buy over 5000'!$C:$C,M$24)</f>
        <v>5</v>
      </c>
      <c r="N30" s="3" t="n">
        <f aca="false">SUM(B30:M30)</f>
        <v>38</v>
      </c>
    </row>
    <row r="31" customFormat="false" ht="15" hidden="false" customHeight="false" outlineLevel="0" collapsed="false">
      <c r="A31" s="3" t="s">
        <v>28</v>
      </c>
      <c r="B31" s="3" t="n">
        <f aca="false">SUM(B25:B30)</f>
        <v>2</v>
      </c>
      <c r="C31" s="3" t="n">
        <f aca="false">SUM(C25:C30)</f>
        <v>6</v>
      </c>
      <c r="D31" s="3" t="n">
        <f aca="false">SUM(D25:D30)</f>
        <v>4</v>
      </c>
      <c r="E31" s="3" t="n">
        <f aca="false">SUM(E25:E30)</f>
        <v>7</v>
      </c>
      <c r="F31" s="3" t="n">
        <f aca="false">SUM(F25:F30)</f>
        <v>13</v>
      </c>
      <c r="G31" s="3" t="n">
        <f aca="false">SUM(G25:G30)</f>
        <v>4</v>
      </c>
      <c r="H31" s="3" t="n">
        <f aca="false">SUM(H25:H30)</f>
        <v>7</v>
      </c>
      <c r="I31" s="3" t="n">
        <f aca="false">SUM(I25:I30)</f>
        <v>8</v>
      </c>
      <c r="J31" s="3" t="n">
        <f aca="false">SUM(J25:J30)</f>
        <v>0</v>
      </c>
      <c r="K31" s="3" t="n">
        <f aca="false">SUM(K25:K30)</f>
        <v>33</v>
      </c>
      <c r="L31" s="3" t="n">
        <f aca="false">SUM(L25:L30)</f>
        <v>6</v>
      </c>
      <c r="M31" s="3" t="n">
        <f aca="false">SUM(M25:M30)</f>
        <v>10</v>
      </c>
      <c r="N31" s="3" t="n">
        <f aca="false">SUM(N25:N30)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"/>
    <col collapsed="false" customWidth="true" hidden="false" outlineLevel="0" max="4" min="3" style="0" width="6"/>
    <col collapsed="false" customWidth="true" hidden="false" outlineLevel="0" max="5" min="5" style="0" width="11"/>
    <col collapsed="false" customWidth="true" hidden="false" outlineLevel="0" max="7" min="6" style="0" width="10"/>
    <col collapsed="false" customWidth="true" hidden="false" outlineLevel="0" max="9" min="8" style="0" width="8"/>
    <col collapsed="false" customWidth="true" hidden="false" outlineLevel="0" max="10" min="10" style="0" width="9"/>
  </cols>
  <sheetData>
    <row r="1" customFormat="false" ht="15" hidden="false" customHeight="false" outlineLevel="0" collapsed="false">
      <c r="A1" s="4" t="s">
        <v>37</v>
      </c>
      <c r="B1" s="4" t="s">
        <v>15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</row>
    <row r="2" customFormat="false" ht="15" hidden="false" customHeight="false" outlineLevel="0" collapsed="false">
      <c r="A2" s="5" t="s">
        <v>46</v>
      </c>
      <c r="B2" s="5" t="s">
        <v>29</v>
      </c>
      <c r="C2" s="5" t="s">
        <v>16</v>
      </c>
      <c r="D2" s="5" t="n">
        <v>56</v>
      </c>
      <c r="E2" s="5" t="s">
        <v>47</v>
      </c>
      <c r="F2" s="6" t="n">
        <v>362</v>
      </c>
      <c r="G2" s="6" t="n">
        <v>0</v>
      </c>
      <c r="H2" s="5" t="s">
        <v>48</v>
      </c>
      <c r="I2" s="5" t="s">
        <v>49</v>
      </c>
      <c r="J2" s="5"/>
    </row>
    <row r="3" customFormat="false" ht="15" hidden="false" customHeight="false" outlineLevel="0" collapsed="false">
      <c r="A3" s="7" t="s">
        <v>50</v>
      </c>
      <c r="B3" s="7" t="s">
        <v>29</v>
      </c>
      <c r="C3" s="7" t="s">
        <v>16</v>
      </c>
      <c r="D3" s="7" t="n">
        <v>48</v>
      </c>
      <c r="E3" s="7" t="s">
        <v>51</v>
      </c>
      <c r="F3" s="8" t="n">
        <v>596</v>
      </c>
      <c r="G3" s="8" t="n">
        <v>0</v>
      </c>
      <c r="H3" s="7" t="s">
        <v>48</v>
      </c>
      <c r="I3" s="7" t="s">
        <v>49</v>
      </c>
      <c r="J3" s="7"/>
    </row>
    <row r="4" customFormat="false" ht="15" hidden="false" customHeight="false" outlineLevel="0" collapsed="false">
      <c r="A4" s="5" t="s">
        <v>52</v>
      </c>
      <c r="B4" s="5" t="s">
        <v>29</v>
      </c>
      <c r="C4" s="5" t="s">
        <v>16</v>
      </c>
      <c r="D4" s="5" t="n">
        <v>48</v>
      </c>
      <c r="E4" s="5" t="s">
        <v>53</v>
      </c>
      <c r="F4" s="6" t="n">
        <v>6317</v>
      </c>
      <c r="G4" s="6" t="n">
        <v>0</v>
      </c>
      <c r="H4" s="5" t="s">
        <v>48</v>
      </c>
      <c r="I4" s="5" t="s">
        <v>49</v>
      </c>
      <c r="J4" s="5"/>
    </row>
    <row r="5" customFormat="false" ht="15" hidden="false" customHeight="false" outlineLevel="0" collapsed="false">
      <c r="A5" s="7" t="s">
        <v>54</v>
      </c>
      <c r="B5" s="7" t="s">
        <v>29</v>
      </c>
      <c r="C5" s="7" t="s">
        <v>18</v>
      </c>
      <c r="D5" s="7" t="n">
        <v>55</v>
      </c>
      <c r="E5" s="7" t="s">
        <v>47</v>
      </c>
      <c r="F5" s="8" t="n">
        <v>252</v>
      </c>
      <c r="G5" s="8" t="n">
        <v>0</v>
      </c>
      <c r="H5" s="7" t="s">
        <v>48</v>
      </c>
      <c r="I5" s="7" t="s">
        <v>49</v>
      </c>
      <c r="J5" s="7"/>
    </row>
    <row r="6" customFormat="false" ht="15" hidden="false" customHeight="false" outlineLevel="0" collapsed="false">
      <c r="A6" s="5" t="s">
        <v>55</v>
      </c>
      <c r="B6" s="5" t="s">
        <v>29</v>
      </c>
      <c r="C6" s="5" t="s">
        <v>18</v>
      </c>
      <c r="D6" s="5" t="n">
        <v>51</v>
      </c>
      <c r="E6" s="5" t="s">
        <v>56</v>
      </c>
      <c r="F6" s="6" t="n">
        <v>2344</v>
      </c>
      <c r="G6" s="6" t="n">
        <v>0</v>
      </c>
      <c r="H6" s="5" t="s">
        <v>48</v>
      </c>
      <c r="I6" s="5" t="s">
        <v>49</v>
      </c>
      <c r="J6" s="5" t="s">
        <v>57</v>
      </c>
    </row>
    <row r="7" customFormat="false" ht="15" hidden="false" customHeight="false" outlineLevel="0" collapsed="false">
      <c r="A7" s="7" t="s">
        <v>58</v>
      </c>
      <c r="B7" s="7" t="s">
        <v>29</v>
      </c>
      <c r="C7" s="7" t="s">
        <v>18</v>
      </c>
      <c r="D7" s="7" t="n">
        <v>44</v>
      </c>
      <c r="E7" s="7" t="s">
        <v>59</v>
      </c>
      <c r="F7" s="8" t="n">
        <v>6096</v>
      </c>
      <c r="G7" s="8" t="n">
        <v>0</v>
      </c>
      <c r="H7" s="7" t="s">
        <v>48</v>
      </c>
      <c r="I7" s="7" t="s">
        <v>49</v>
      </c>
      <c r="J7" s="7" t="s">
        <v>60</v>
      </c>
    </row>
    <row r="8" customFormat="false" ht="15" hidden="false" customHeight="false" outlineLevel="0" collapsed="false">
      <c r="A8" s="5" t="s">
        <v>61</v>
      </c>
      <c r="B8" s="5" t="s">
        <v>29</v>
      </c>
      <c r="C8" s="5" t="s">
        <v>21</v>
      </c>
      <c r="D8" s="5" t="n">
        <v>58</v>
      </c>
      <c r="E8" s="5" t="s">
        <v>47</v>
      </c>
      <c r="F8" s="6" t="n">
        <v>203</v>
      </c>
      <c r="G8" s="6" t="n">
        <v>0</v>
      </c>
      <c r="H8" s="5" t="s">
        <v>48</v>
      </c>
      <c r="I8" s="5" t="s">
        <v>49</v>
      </c>
      <c r="J8" s="5"/>
    </row>
    <row r="9" customFormat="false" ht="15" hidden="false" customHeight="false" outlineLevel="0" collapsed="false">
      <c r="A9" s="7" t="s">
        <v>62</v>
      </c>
      <c r="B9" s="7" t="s">
        <v>29</v>
      </c>
      <c r="C9" s="7" t="s">
        <v>22</v>
      </c>
      <c r="D9" s="7" t="n">
        <v>57</v>
      </c>
      <c r="E9" s="7" t="s">
        <v>47</v>
      </c>
      <c r="F9" s="8" t="n">
        <v>182</v>
      </c>
      <c r="G9" s="8" t="n">
        <v>0</v>
      </c>
      <c r="H9" s="7" t="s">
        <v>48</v>
      </c>
      <c r="I9" s="7" t="s">
        <v>49</v>
      </c>
      <c r="J9" s="7"/>
    </row>
    <row r="10" customFormat="false" ht="15" hidden="false" customHeight="false" outlineLevel="0" collapsed="false">
      <c r="A10" s="5" t="s">
        <v>63</v>
      </c>
      <c r="B10" s="5" t="s">
        <v>29</v>
      </c>
      <c r="C10" s="5" t="s">
        <v>22</v>
      </c>
      <c r="D10" s="5" t="n">
        <v>51</v>
      </c>
      <c r="E10" s="5" t="s">
        <v>64</v>
      </c>
      <c r="F10" s="6" t="n">
        <v>239</v>
      </c>
      <c r="G10" s="6" t="n">
        <v>0</v>
      </c>
      <c r="H10" s="5" t="s">
        <v>48</v>
      </c>
      <c r="I10" s="5" t="s">
        <v>49</v>
      </c>
      <c r="J10" s="5" t="s">
        <v>57</v>
      </c>
    </row>
    <row r="11" customFormat="false" ht="15" hidden="false" customHeight="false" outlineLevel="0" collapsed="false">
      <c r="A11" s="7" t="s">
        <v>65</v>
      </c>
      <c r="B11" s="7" t="s">
        <v>29</v>
      </c>
      <c r="C11" s="7" t="s">
        <v>23</v>
      </c>
      <c r="D11" s="7" t="n">
        <v>53</v>
      </c>
      <c r="E11" s="7" t="s">
        <v>66</v>
      </c>
      <c r="F11" s="8" t="n">
        <v>9465</v>
      </c>
      <c r="G11" s="8" t="n">
        <v>0</v>
      </c>
      <c r="H11" s="7" t="s">
        <v>48</v>
      </c>
      <c r="I11" s="7" t="s">
        <v>49</v>
      </c>
      <c r="J11" s="7"/>
    </row>
    <row r="12" customFormat="false" ht="15" hidden="false" customHeight="false" outlineLevel="0" collapsed="false">
      <c r="A12" s="5" t="s">
        <v>67</v>
      </c>
      <c r="B12" s="5" t="s">
        <v>29</v>
      </c>
      <c r="C12" s="5" t="s">
        <v>25</v>
      </c>
      <c r="D12" s="5" t="n">
        <v>55</v>
      </c>
      <c r="E12" s="5" t="s">
        <v>47</v>
      </c>
      <c r="F12" s="6" t="n">
        <v>415</v>
      </c>
      <c r="G12" s="6" t="n">
        <v>0</v>
      </c>
      <c r="H12" s="5" t="s">
        <v>48</v>
      </c>
      <c r="I12" s="5" t="s">
        <v>49</v>
      </c>
      <c r="J12" s="5"/>
    </row>
    <row r="13" customFormat="false" ht="15" hidden="false" customHeight="false" outlineLevel="0" collapsed="false">
      <c r="A13" s="7" t="s">
        <v>68</v>
      </c>
      <c r="B13" s="7" t="s">
        <v>29</v>
      </c>
      <c r="C13" s="7" t="s">
        <v>25</v>
      </c>
      <c r="D13" s="7" t="n">
        <v>51</v>
      </c>
      <c r="E13" s="7" t="s">
        <v>47</v>
      </c>
      <c r="F13" s="8" t="n">
        <v>164</v>
      </c>
      <c r="G13" s="8" t="n">
        <v>0</v>
      </c>
      <c r="H13" s="7" t="s">
        <v>48</v>
      </c>
      <c r="I13" s="7" t="s">
        <v>49</v>
      </c>
      <c r="J13" s="7"/>
    </row>
    <row r="14" customFormat="false" ht="15" hidden="false" customHeight="false" outlineLevel="0" collapsed="false">
      <c r="A14" s="5" t="s">
        <v>69</v>
      </c>
      <c r="B14" s="5" t="s">
        <v>29</v>
      </c>
      <c r="C14" s="5" t="s">
        <v>25</v>
      </c>
      <c r="D14" s="5" t="n">
        <v>50</v>
      </c>
      <c r="E14" s="5" t="s">
        <v>70</v>
      </c>
      <c r="F14" s="6" t="n">
        <v>15044</v>
      </c>
      <c r="G14" s="6" t="n">
        <v>0</v>
      </c>
      <c r="H14" s="5" t="s">
        <v>48</v>
      </c>
      <c r="I14" s="5" t="s">
        <v>49</v>
      </c>
      <c r="J14" s="5" t="s">
        <v>57</v>
      </c>
    </row>
    <row r="15" customFormat="false" ht="15" hidden="false" customHeight="false" outlineLevel="0" collapsed="false">
      <c r="A15" s="7" t="s">
        <v>71</v>
      </c>
      <c r="B15" s="7" t="s">
        <v>29</v>
      </c>
      <c r="C15" s="7" t="s">
        <v>27</v>
      </c>
      <c r="D15" s="7" t="n">
        <v>53</v>
      </c>
      <c r="E15" s="7" t="s">
        <v>72</v>
      </c>
      <c r="F15" s="8" t="n">
        <v>592</v>
      </c>
      <c r="G15" s="8" t="n">
        <v>0</v>
      </c>
      <c r="H15" s="7" t="s">
        <v>48</v>
      </c>
      <c r="I15" s="7" t="s">
        <v>49</v>
      </c>
      <c r="J15" s="7"/>
    </row>
    <row r="16" customFormat="false" ht="15" hidden="false" customHeight="false" outlineLevel="0" collapsed="false">
      <c r="A16" s="5" t="s">
        <v>73</v>
      </c>
      <c r="B16" s="5" t="s">
        <v>29</v>
      </c>
      <c r="C16" s="5" t="s">
        <v>27</v>
      </c>
      <c r="D16" s="5" t="n">
        <v>47</v>
      </c>
      <c r="E16" s="5" t="s">
        <v>74</v>
      </c>
      <c r="F16" s="6" t="n">
        <v>10140</v>
      </c>
      <c r="G16" s="6" t="n">
        <v>0</v>
      </c>
      <c r="H16" s="5" t="s">
        <v>48</v>
      </c>
      <c r="I16" s="5" t="s">
        <v>49</v>
      </c>
      <c r="J16" s="5" t="s">
        <v>57</v>
      </c>
    </row>
    <row r="17" customFormat="false" ht="15" hidden="false" customHeight="false" outlineLevel="0" collapsed="false">
      <c r="A17" s="7" t="s">
        <v>75</v>
      </c>
      <c r="B17" s="7" t="s">
        <v>30</v>
      </c>
      <c r="C17" s="7" t="s">
        <v>16</v>
      </c>
      <c r="D17" s="7" t="n">
        <v>65</v>
      </c>
      <c r="E17" s="7" t="s">
        <v>76</v>
      </c>
      <c r="F17" s="8" t="n">
        <v>21001</v>
      </c>
      <c r="G17" s="8" t="n">
        <v>0</v>
      </c>
      <c r="H17" s="7" t="s">
        <v>48</v>
      </c>
      <c r="I17" s="7" t="s">
        <v>49</v>
      </c>
      <c r="J17" s="7"/>
    </row>
    <row r="18" customFormat="false" ht="15" hidden="false" customHeight="false" outlineLevel="0" collapsed="false">
      <c r="A18" s="5" t="s">
        <v>77</v>
      </c>
      <c r="B18" s="5" t="s">
        <v>30</v>
      </c>
      <c r="C18" s="5" t="s">
        <v>16</v>
      </c>
      <c r="D18" s="5" t="n">
        <v>63</v>
      </c>
      <c r="E18" s="5" t="s">
        <v>78</v>
      </c>
      <c r="F18" s="6" t="n">
        <v>7739</v>
      </c>
      <c r="G18" s="6" t="n">
        <v>0</v>
      </c>
      <c r="H18" s="5" t="s">
        <v>48</v>
      </c>
      <c r="I18" s="5" t="s">
        <v>49</v>
      </c>
      <c r="J18" s="5"/>
    </row>
    <row r="19" customFormat="false" ht="15" hidden="false" customHeight="false" outlineLevel="0" collapsed="false">
      <c r="A19" s="7" t="s">
        <v>79</v>
      </c>
      <c r="B19" s="7" t="s">
        <v>30</v>
      </c>
      <c r="C19" s="7" t="s">
        <v>17</v>
      </c>
      <c r="D19" s="7" t="n">
        <v>68</v>
      </c>
      <c r="E19" s="7" t="s">
        <v>80</v>
      </c>
      <c r="F19" s="8" t="n">
        <v>1823</v>
      </c>
      <c r="G19" s="8" t="n">
        <v>0</v>
      </c>
      <c r="H19" s="7" t="s">
        <v>48</v>
      </c>
      <c r="I19" s="7" t="s">
        <v>49</v>
      </c>
      <c r="J19" s="7"/>
    </row>
    <row r="20" customFormat="false" ht="15" hidden="false" customHeight="false" outlineLevel="0" collapsed="false">
      <c r="A20" s="5" t="s">
        <v>81</v>
      </c>
      <c r="B20" s="5" t="s">
        <v>30</v>
      </c>
      <c r="C20" s="5" t="s">
        <v>18</v>
      </c>
      <c r="D20" s="5" t="n">
        <v>69</v>
      </c>
      <c r="E20" s="5" t="s">
        <v>82</v>
      </c>
      <c r="F20" s="6" t="n">
        <v>128885</v>
      </c>
      <c r="G20" s="6" t="n">
        <v>0</v>
      </c>
      <c r="H20" s="5" t="s">
        <v>48</v>
      </c>
      <c r="I20" s="5" t="s">
        <v>49</v>
      </c>
      <c r="J20" s="5" t="s">
        <v>57</v>
      </c>
    </row>
    <row r="21" customFormat="false" ht="15" hidden="false" customHeight="false" outlineLevel="0" collapsed="false">
      <c r="A21" s="7" t="s">
        <v>83</v>
      </c>
      <c r="B21" s="7" t="s">
        <v>30</v>
      </c>
      <c r="C21" s="7" t="s">
        <v>20</v>
      </c>
      <c r="D21" s="7" t="n">
        <v>68</v>
      </c>
      <c r="E21" s="7" t="s">
        <v>47</v>
      </c>
      <c r="F21" s="8" t="n">
        <v>2043</v>
      </c>
      <c r="G21" s="8" t="n">
        <v>0</v>
      </c>
      <c r="H21" s="7" t="s">
        <v>48</v>
      </c>
      <c r="I21" s="7" t="s">
        <v>49</v>
      </c>
      <c r="J21" s="7"/>
    </row>
    <row r="22" customFormat="false" ht="15" hidden="false" customHeight="false" outlineLevel="0" collapsed="false">
      <c r="A22" s="5" t="s">
        <v>84</v>
      </c>
      <c r="B22" s="5" t="s">
        <v>30</v>
      </c>
      <c r="C22" s="5" t="s">
        <v>21</v>
      </c>
      <c r="D22" s="5" t="n">
        <v>68</v>
      </c>
      <c r="E22" s="5" t="s">
        <v>66</v>
      </c>
      <c r="F22" s="6" t="n">
        <v>11445</v>
      </c>
      <c r="G22" s="6" t="n">
        <v>0</v>
      </c>
      <c r="H22" s="5" t="s">
        <v>48</v>
      </c>
      <c r="I22" s="5" t="s">
        <v>49</v>
      </c>
      <c r="J22" s="5"/>
    </row>
    <row r="23" customFormat="false" ht="15" hidden="false" customHeight="false" outlineLevel="0" collapsed="false">
      <c r="A23" s="7" t="s">
        <v>85</v>
      </c>
      <c r="B23" s="7" t="s">
        <v>30</v>
      </c>
      <c r="C23" s="7" t="s">
        <v>22</v>
      </c>
      <c r="D23" s="7" t="n">
        <v>64</v>
      </c>
      <c r="E23" s="7" t="s">
        <v>86</v>
      </c>
      <c r="F23" s="8" t="n">
        <v>14468</v>
      </c>
      <c r="G23" s="8" t="n">
        <v>0</v>
      </c>
      <c r="H23" s="7" t="s">
        <v>48</v>
      </c>
      <c r="I23" s="7" t="s">
        <v>49</v>
      </c>
      <c r="J23" s="7" t="s">
        <v>57</v>
      </c>
    </row>
    <row r="24" customFormat="false" ht="15" hidden="false" customHeight="false" outlineLevel="0" collapsed="false">
      <c r="A24" s="5" t="s">
        <v>87</v>
      </c>
      <c r="B24" s="5" t="s">
        <v>30</v>
      </c>
      <c r="C24" s="5" t="s">
        <v>23</v>
      </c>
      <c r="D24" s="5" t="n">
        <v>66</v>
      </c>
      <c r="E24" s="5" t="s">
        <v>86</v>
      </c>
      <c r="F24" s="6" t="n">
        <v>129845</v>
      </c>
      <c r="G24" s="6" t="n">
        <v>0</v>
      </c>
      <c r="H24" s="5" t="s">
        <v>48</v>
      </c>
      <c r="I24" s="5" t="s">
        <v>49</v>
      </c>
      <c r="J24" s="5" t="s">
        <v>57</v>
      </c>
    </row>
    <row r="25" customFormat="false" ht="15" hidden="false" customHeight="false" outlineLevel="0" collapsed="false">
      <c r="A25" s="7" t="s">
        <v>88</v>
      </c>
      <c r="B25" s="7" t="s">
        <v>30</v>
      </c>
      <c r="C25" s="7" t="s">
        <v>25</v>
      </c>
      <c r="D25" s="7" t="n">
        <v>63</v>
      </c>
      <c r="E25" s="7" t="s">
        <v>47</v>
      </c>
      <c r="F25" s="8" t="n">
        <v>274</v>
      </c>
      <c r="G25" s="8" t="n">
        <v>0</v>
      </c>
      <c r="H25" s="7" t="s">
        <v>48</v>
      </c>
      <c r="I25" s="7" t="s">
        <v>49</v>
      </c>
      <c r="J25" s="7"/>
    </row>
    <row r="26" customFormat="false" ht="15" hidden="false" customHeight="false" outlineLevel="0" collapsed="false">
      <c r="A26" s="5" t="s">
        <v>89</v>
      </c>
      <c r="B26" s="5" t="s">
        <v>30</v>
      </c>
      <c r="C26" s="5" t="s">
        <v>25</v>
      </c>
      <c r="D26" s="5" t="n">
        <v>60</v>
      </c>
      <c r="E26" s="5" t="s">
        <v>53</v>
      </c>
      <c r="F26" s="6" t="n">
        <v>3957</v>
      </c>
      <c r="G26" s="6" t="n">
        <v>0</v>
      </c>
      <c r="H26" s="5" t="s">
        <v>48</v>
      </c>
      <c r="I26" s="5" t="s">
        <v>49</v>
      </c>
      <c r="J26" s="5"/>
    </row>
    <row r="27" customFormat="false" ht="15" hidden="false" customHeight="false" outlineLevel="0" collapsed="false">
      <c r="A27" s="7" t="s">
        <v>90</v>
      </c>
      <c r="B27" s="7" t="s">
        <v>30</v>
      </c>
      <c r="C27" s="7" t="s">
        <v>26</v>
      </c>
      <c r="D27" s="7" t="n">
        <v>69</v>
      </c>
      <c r="E27" s="7" t="s">
        <v>47</v>
      </c>
      <c r="F27" s="8" t="n">
        <v>9120</v>
      </c>
      <c r="G27" s="8" t="n">
        <v>0</v>
      </c>
      <c r="H27" s="7" t="s">
        <v>48</v>
      </c>
      <c r="I27" s="7" t="s">
        <v>49</v>
      </c>
      <c r="J27" s="7"/>
    </row>
    <row r="28" customFormat="false" ht="15" hidden="false" customHeight="false" outlineLevel="0" collapsed="false">
      <c r="A28" s="5" t="s">
        <v>91</v>
      </c>
      <c r="B28" s="5" t="s">
        <v>30</v>
      </c>
      <c r="C28" s="5" t="s">
        <v>27</v>
      </c>
      <c r="D28" s="5" t="n">
        <v>65</v>
      </c>
      <c r="E28" s="5" t="s">
        <v>47</v>
      </c>
      <c r="F28" s="6" t="n">
        <v>1933</v>
      </c>
      <c r="G28" s="6" t="n">
        <v>0</v>
      </c>
      <c r="H28" s="5" t="s">
        <v>48</v>
      </c>
      <c r="I28" s="5" t="s">
        <v>49</v>
      </c>
      <c r="J28" s="5"/>
    </row>
    <row r="29" customFormat="false" ht="15" hidden="false" customHeight="false" outlineLevel="0" collapsed="false">
      <c r="A29" s="7" t="s">
        <v>92</v>
      </c>
      <c r="B29" s="7" t="s">
        <v>31</v>
      </c>
      <c r="C29" s="7" t="s">
        <v>16</v>
      </c>
      <c r="D29" s="7" t="n">
        <v>75</v>
      </c>
      <c r="E29" s="7" t="s">
        <v>93</v>
      </c>
      <c r="F29" s="8" t="n">
        <v>9450</v>
      </c>
      <c r="G29" s="8" t="n">
        <v>0</v>
      </c>
      <c r="H29" s="7" t="s">
        <v>48</v>
      </c>
      <c r="I29" s="7" t="s">
        <v>49</v>
      </c>
      <c r="J29" s="7"/>
    </row>
    <row r="30" customFormat="false" ht="15" hidden="false" customHeight="false" outlineLevel="0" collapsed="false">
      <c r="A30" s="5" t="s">
        <v>94</v>
      </c>
      <c r="B30" s="5" t="s">
        <v>31</v>
      </c>
      <c r="C30" s="5" t="s">
        <v>17</v>
      </c>
      <c r="D30" s="5" t="n">
        <v>78</v>
      </c>
      <c r="E30" s="5" t="s">
        <v>95</v>
      </c>
      <c r="F30" s="6" t="n">
        <v>3545</v>
      </c>
      <c r="G30" s="6" t="n">
        <v>0</v>
      </c>
      <c r="H30" s="5" t="s">
        <v>48</v>
      </c>
      <c r="I30" s="5" t="s">
        <v>49</v>
      </c>
      <c r="J30" s="5"/>
    </row>
    <row r="31" customFormat="false" ht="15" hidden="false" customHeight="false" outlineLevel="0" collapsed="false">
      <c r="A31" s="7" t="s">
        <v>96</v>
      </c>
      <c r="B31" s="7" t="s">
        <v>31</v>
      </c>
      <c r="C31" s="7" t="s">
        <v>17</v>
      </c>
      <c r="D31" s="7" t="n">
        <v>76</v>
      </c>
      <c r="E31" s="7" t="s">
        <v>97</v>
      </c>
      <c r="F31" s="8" t="n">
        <v>21592</v>
      </c>
      <c r="G31" s="8" t="n">
        <v>0</v>
      </c>
      <c r="H31" s="7" t="s">
        <v>48</v>
      </c>
      <c r="I31" s="7" t="s">
        <v>49</v>
      </c>
      <c r="J31" s="7" t="s">
        <v>98</v>
      </c>
    </row>
    <row r="32" customFormat="false" ht="15" hidden="false" customHeight="false" outlineLevel="0" collapsed="false">
      <c r="A32" s="5" t="s">
        <v>99</v>
      </c>
      <c r="B32" s="5" t="s">
        <v>31</v>
      </c>
      <c r="C32" s="5" t="s">
        <v>17</v>
      </c>
      <c r="D32" s="5" t="n">
        <v>70</v>
      </c>
      <c r="E32" s="5" t="s">
        <v>100</v>
      </c>
      <c r="F32" s="6" t="n">
        <v>5090</v>
      </c>
      <c r="G32" s="6" t="n">
        <v>0</v>
      </c>
      <c r="H32" s="5" t="s">
        <v>48</v>
      </c>
      <c r="I32" s="5" t="s">
        <v>49</v>
      </c>
      <c r="J32" s="5"/>
    </row>
    <row r="33" customFormat="false" ht="15" hidden="false" customHeight="false" outlineLevel="0" collapsed="false">
      <c r="A33" s="7" t="s">
        <v>101</v>
      </c>
      <c r="B33" s="7" t="s">
        <v>31</v>
      </c>
      <c r="C33" s="7" t="s">
        <v>18</v>
      </c>
      <c r="D33" s="7" t="n">
        <v>77</v>
      </c>
      <c r="E33" s="7" t="s">
        <v>102</v>
      </c>
      <c r="F33" s="8" t="n">
        <v>11423</v>
      </c>
      <c r="G33" s="8" t="n">
        <v>0</v>
      </c>
      <c r="H33" s="7" t="s">
        <v>48</v>
      </c>
      <c r="I33" s="7" t="s">
        <v>49</v>
      </c>
      <c r="J33" s="7"/>
    </row>
    <row r="34" customFormat="false" ht="15" hidden="false" customHeight="false" outlineLevel="0" collapsed="false">
      <c r="A34" s="5" t="s">
        <v>103</v>
      </c>
      <c r="B34" s="5" t="s">
        <v>31</v>
      </c>
      <c r="C34" s="5" t="s">
        <v>19</v>
      </c>
      <c r="D34" s="5" t="n">
        <v>78</v>
      </c>
      <c r="E34" s="5" t="s">
        <v>104</v>
      </c>
      <c r="F34" s="6" t="n">
        <v>6645</v>
      </c>
      <c r="G34" s="6" t="n">
        <v>0</v>
      </c>
      <c r="H34" s="5" t="s">
        <v>48</v>
      </c>
      <c r="I34" s="5" t="s">
        <v>49</v>
      </c>
      <c r="J34" s="5"/>
    </row>
    <row r="35" customFormat="false" ht="15" hidden="false" customHeight="false" outlineLevel="0" collapsed="false">
      <c r="A35" s="7" t="s">
        <v>105</v>
      </c>
      <c r="B35" s="7" t="s">
        <v>31</v>
      </c>
      <c r="C35" s="7" t="s">
        <v>19</v>
      </c>
      <c r="D35" s="7" t="n">
        <v>73</v>
      </c>
      <c r="E35" s="7" t="s">
        <v>56</v>
      </c>
      <c r="F35" s="8" t="n">
        <v>2819</v>
      </c>
      <c r="G35" s="8" t="n">
        <v>0</v>
      </c>
      <c r="H35" s="7" t="s">
        <v>48</v>
      </c>
      <c r="I35" s="7" t="s">
        <v>49</v>
      </c>
      <c r="J35" s="7" t="s">
        <v>57</v>
      </c>
    </row>
    <row r="36" customFormat="false" ht="15" hidden="false" customHeight="false" outlineLevel="0" collapsed="false">
      <c r="A36" s="5" t="s">
        <v>106</v>
      </c>
      <c r="B36" s="5" t="s">
        <v>31</v>
      </c>
      <c r="C36" s="5" t="s">
        <v>19</v>
      </c>
      <c r="D36" s="5" t="n">
        <v>73</v>
      </c>
      <c r="E36" s="5" t="s">
        <v>100</v>
      </c>
      <c r="F36" s="6" t="n">
        <v>6915</v>
      </c>
      <c r="G36" s="6" t="n">
        <v>0</v>
      </c>
      <c r="H36" s="5" t="s">
        <v>48</v>
      </c>
      <c r="I36" s="5" t="s">
        <v>49</v>
      </c>
      <c r="J36" s="5"/>
    </row>
    <row r="37" customFormat="false" ht="15" hidden="false" customHeight="false" outlineLevel="0" collapsed="false">
      <c r="A37" s="7" t="s">
        <v>107</v>
      </c>
      <c r="B37" s="7" t="s">
        <v>31</v>
      </c>
      <c r="C37" s="7" t="s">
        <v>20</v>
      </c>
      <c r="D37" s="7" t="n">
        <v>79</v>
      </c>
      <c r="E37" s="7" t="s">
        <v>108</v>
      </c>
      <c r="F37" s="8" t="n">
        <v>12101</v>
      </c>
      <c r="G37" s="8" t="n">
        <v>0</v>
      </c>
      <c r="H37" s="7" t="s">
        <v>48</v>
      </c>
      <c r="I37" s="7" t="s">
        <v>49</v>
      </c>
      <c r="J37" s="7" t="s">
        <v>109</v>
      </c>
    </row>
    <row r="38" customFormat="false" ht="15" hidden="false" customHeight="false" outlineLevel="0" collapsed="false">
      <c r="A38" s="5" t="s">
        <v>110</v>
      </c>
      <c r="B38" s="5" t="s">
        <v>31</v>
      </c>
      <c r="C38" s="5" t="s">
        <v>21</v>
      </c>
      <c r="D38" s="5" t="n">
        <v>74</v>
      </c>
      <c r="E38" s="5" t="s">
        <v>56</v>
      </c>
      <c r="F38" s="6" t="n">
        <v>2513</v>
      </c>
      <c r="G38" s="6" t="n">
        <v>0</v>
      </c>
      <c r="H38" s="5" t="s">
        <v>48</v>
      </c>
      <c r="I38" s="5" t="s">
        <v>49</v>
      </c>
      <c r="J38" s="5" t="s">
        <v>57</v>
      </c>
    </row>
    <row r="39" customFormat="false" ht="15" hidden="false" customHeight="false" outlineLevel="0" collapsed="false">
      <c r="A39" s="7" t="s">
        <v>111</v>
      </c>
      <c r="B39" s="7" t="s">
        <v>31</v>
      </c>
      <c r="C39" s="7" t="s">
        <v>21</v>
      </c>
      <c r="D39" s="7" t="n">
        <v>72</v>
      </c>
      <c r="E39" s="7" t="s">
        <v>47</v>
      </c>
      <c r="F39" s="8" t="n">
        <v>684</v>
      </c>
      <c r="G39" s="8" t="n">
        <v>0</v>
      </c>
      <c r="H39" s="7" t="s">
        <v>48</v>
      </c>
      <c r="I39" s="7" t="s">
        <v>49</v>
      </c>
      <c r="J39" s="7"/>
    </row>
    <row r="40" customFormat="false" ht="15" hidden="false" customHeight="false" outlineLevel="0" collapsed="false">
      <c r="A40" s="5" t="s">
        <v>112</v>
      </c>
      <c r="B40" s="5" t="s">
        <v>31</v>
      </c>
      <c r="C40" s="5" t="s">
        <v>23</v>
      </c>
      <c r="D40" s="5" t="n">
        <v>78</v>
      </c>
      <c r="E40" s="5" t="s">
        <v>113</v>
      </c>
      <c r="F40" s="6" t="n">
        <v>16222</v>
      </c>
      <c r="G40" s="6" t="n">
        <v>0</v>
      </c>
      <c r="H40" s="5" t="s">
        <v>48</v>
      </c>
      <c r="I40" s="5" t="s">
        <v>49</v>
      </c>
      <c r="J40" s="5"/>
    </row>
    <row r="41" customFormat="false" ht="15" hidden="false" customHeight="false" outlineLevel="0" collapsed="false">
      <c r="A41" s="7" t="s">
        <v>114</v>
      </c>
      <c r="B41" s="7" t="s">
        <v>31</v>
      </c>
      <c r="C41" s="7" t="s">
        <v>23</v>
      </c>
      <c r="D41" s="7" t="n">
        <v>78</v>
      </c>
      <c r="E41" s="7" t="s">
        <v>47</v>
      </c>
      <c r="F41" s="8" t="n">
        <v>914</v>
      </c>
      <c r="G41" s="8" t="n">
        <v>0</v>
      </c>
      <c r="H41" s="7" t="s">
        <v>48</v>
      </c>
      <c r="I41" s="7" t="s">
        <v>49</v>
      </c>
      <c r="J41" s="7"/>
    </row>
    <row r="42" customFormat="false" ht="15" hidden="false" customHeight="false" outlineLevel="0" collapsed="false">
      <c r="A42" s="5" t="s">
        <v>115</v>
      </c>
      <c r="B42" s="5" t="s">
        <v>31</v>
      </c>
      <c r="C42" s="5" t="s">
        <v>25</v>
      </c>
      <c r="D42" s="5" t="n">
        <v>79</v>
      </c>
      <c r="E42" s="5" t="s">
        <v>64</v>
      </c>
      <c r="F42" s="6" t="n">
        <v>9432</v>
      </c>
      <c r="G42" s="6" t="n">
        <v>0</v>
      </c>
      <c r="H42" s="5" t="s">
        <v>48</v>
      </c>
      <c r="I42" s="5" t="s">
        <v>49</v>
      </c>
      <c r="J42" s="5"/>
    </row>
    <row r="43" customFormat="false" ht="15" hidden="false" customHeight="false" outlineLevel="0" collapsed="false">
      <c r="A43" s="7" t="s">
        <v>116</v>
      </c>
      <c r="B43" s="7" t="s">
        <v>31</v>
      </c>
      <c r="C43" s="7" t="s">
        <v>25</v>
      </c>
      <c r="D43" s="7" t="n">
        <v>79</v>
      </c>
      <c r="E43" s="7" t="s">
        <v>47</v>
      </c>
      <c r="F43" s="8" t="n">
        <v>2068</v>
      </c>
      <c r="G43" s="8" t="n">
        <v>0</v>
      </c>
      <c r="H43" s="7" t="s">
        <v>48</v>
      </c>
      <c r="I43" s="7" t="s">
        <v>49</v>
      </c>
      <c r="J43" s="7"/>
    </row>
    <row r="44" customFormat="false" ht="15" hidden="false" customHeight="false" outlineLevel="0" collapsed="false">
      <c r="A44" s="5" t="s">
        <v>117</v>
      </c>
      <c r="B44" s="5" t="s">
        <v>31</v>
      </c>
      <c r="C44" s="5" t="s">
        <v>25</v>
      </c>
      <c r="D44" s="5" t="n">
        <v>79</v>
      </c>
      <c r="E44" s="5" t="s">
        <v>59</v>
      </c>
      <c r="F44" s="6" t="n">
        <v>42096</v>
      </c>
      <c r="G44" s="6" t="n">
        <v>0</v>
      </c>
      <c r="H44" s="5" t="s">
        <v>48</v>
      </c>
      <c r="I44" s="5" t="s">
        <v>49</v>
      </c>
      <c r="J44" s="5" t="s">
        <v>60</v>
      </c>
    </row>
    <row r="45" customFormat="false" ht="15" hidden="false" customHeight="false" outlineLevel="0" collapsed="false">
      <c r="A45" s="7" t="s">
        <v>118</v>
      </c>
      <c r="B45" s="7" t="s">
        <v>31</v>
      </c>
      <c r="C45" s="7" t="s">
        <v>25</v>
      </c>
      <c r="D45" s="7" t="n">
        <v>75</v>
      </c>
      <c r="E45" s="7" t="s">
        <v>47</v>
      </c>
      <c r="F45" s="8" t="n">
        <v>1088</v>
      </c>
      <c r="G45" s="8" t="n">
        <v>0</v>
      </c>
      <c r="H45" s="7" t="s">
        <v>48</v>
      </c>
      <c r="I45" s="7" t="s">
        <v>49</v>
      </c>
      <c r="J45" s="7"/>
    </row>
    <row r="46" customFormat="false" ht="15" hidden="false" customHeight="false" outlineLevel="0" collapsed="false">
      <c r="A46" s="5" t="s">
        <v>119</v>
      </c>
      <c r="B46" s="5" t="s">
        <v>31</v>
      </c>
      <c r="C46" s="5" t="s">
        <v>25</v>
      </c>
      <c r="D46" s="5" t="n">
        <v>74</v>
      </c>
      <c r="E46" s="5" t="s">
        <v>86</v>
      </c>
      <c r="F46" s="6" t="n">
        <v>28856</v>
      </c>
      <c r="G46" s="6" t="n">
        <v>0</v>
      </c>
      <c r="H46" s="5" t="s">
        <v>48</v>
      </c>
      <c r="I46" s="5" t="s">
        <v>49</v>
      </c>
      <c r="J46" s="5"/>
    </row>
    <row r="47" customFormat="false" ht="15" hidden="false" customHeight="false" outlineLevel="0" collapsed="false">
      <c r="A47" s="7" t="s">
        <v>120</v>
      </c>
      <c r="B47" s="7" t="s">
        <v>31</v>
      </c>
      <c r="C47" s="7" t="s">
        <v>25</v>
      </c>
      <c r="D47" s="7" t="n">
        <v>71</v>
      </c>
      <c r="E47" s="7" t="s">
        <v>47</v>
      </c>
      <c r="F47" s="8" t="n">
        <v>1506</v>
      </c>
      <c r="G47" s="8" t="n">
        <v>0</v>
      </c>
      <c r="H47" s="7" t="s">
        <v>48</v>
      </c>
      <c r="I47" s="7" t="s">
        <v>49</v>
      </c>
      <c r="J47" s="7"/>
    </row>
    <row r="48" customFormat="false" ht="15" hidden="false" customHeight="false" outlineLevel="0" collapsed="false">
      <c r="A48" s="5" t="s">
        <v>121</v>
      </c>
      <c r="B48" s="5" t="s">
        <v>31</v>
      </c>
      <c r="C48" s="5" t="s">
        <v>26</v>
      </c>
      <c r="D48" s="5" t="n">
        <v>77</v>
      </c>
      <c r="E48" s="5" t="s">
        <v>47</v>
      </c>
      <c r="F48" s="6" t="n">
        <v>6251</v>
      </c>
      <c r="G48" s="6" t="n">
        <v>0</v>
      </c>
      <c r="H48" s="5" t="s">
        <v>48</v>
      </c>
      <c r="I48" s="5" t="s">
        <v>49</v>
      </c>
      <c r="J48" s="5"/>
    </row>
    <row r="49" customFormat="false" ht="15" hidden="false" customHeight="false" outlineLevel="0" collapsed="false">
      <c r="A49" s="7" t="s">
        <v>122</v>
      </c>
      <c r="B49" s="7" t="s">
        <v>32</v>
      </c>
      <c r="C49" s="7" t="s">
        <v>16</v>
      </c>
      <c r="D49" s="7" t="n">
        <v>88</v>
      </c>
      <c r="E49" s="7" t="s">
        <v>47</v>
      </c>
      <c r="F49" s="8" t="n">
        <v>2909</v>
      </c>
      <c r="G49" s="8" t="n">
        <v>0</v>
      </c>
      <c r="H49" s="7" t="s">
        <v>48</v>
      </c>
      <c r="I49" s="7" t="s">
        <v>49</v>
      </c>
      <c r="J49" s="7"/>
    </row>
    <row r="50" customFormat="false" ht="15" hidden="false" customHeight="false" outlineLevel="0" collapsed="false">
      <c r="A50" s="5" t="s">
        <v>123</v>
      </c>
      <c r="B50" s="5" t="s">
        <v>32</v>
      </c>
      <c r="C50" s="5" t="s">
        <v>16</v>
      </c>
      <c r="D50" s="5" t="n">
        <v>80</v>
      </c>
      <c r="E50" s="5" t="s">
        <v>124</v>
      </c>
      <c r="F50" s="6" t="n">
        <v>5479</v>
      </c>
      <c r="G50" s="6" t="n">
        <v>0</v>
      </c>
      <c r="H50" s="5" t="s">
        <v>48</v>
      </c>
      <c r="I50" s="5" t="s">
        <v>49</v>
      </c>
      <c r="J50" s="5"/>
    </row>
    <row r="51" customFormat="false" ht="15" hidden="false" customHeight="false" outlineLevel="0" collapsed="false">
      <c r="A51" s="7" t="s">
        <v>125</v>
      </c>
      <c r="B51" s="7" t="s">
        <v>32</v>
      </c>
      <c r="C51" s="7" t="s">
        <v>17</v>
      </c>
      <c r="D51" s="7" t="n">
        <v>88</v>
      </c>
      <c r="E51" s="7" t="s">
        <v>126</v>
      </c>
      <c r="F51" s="8" t="n">
        <v>61530</v>
      </c>
      <c r="G51" s="8" t="n">
        <v>0</v>
      </c>
      <c r="H51" s="7" t="s">
        <v>48</v>
      </c>
      <c r="I51" s="7" t="s">
        <v>49</v>
      </c>
      <c r="J51" s="7" t="s">
        <v>57</v>
      </c>
    </row>
    <row r="52" customFormat="false" ht="15" hidden="false" customHeight="false" outlineLevel="0" collapsed="false">
      <c r="A52" s="5" t="s">
        <v>127</v>
      </c>
      <c r="B52" s="5" t="s">
        <v>32</v>
      </c>
      <c r="C52" s="5" t="s">
        <v>18</v>
      </c>
      <c r="D52" s="5" t="n">
        <v>86</v>
      </c>
      <c r="E52" s="5" t="s">
        <v>108</v>
      </c>
      <c r="F52" s="6" t="n">
        <v>22348</v>
      </c>
      <c r="G52" s="6" t="n">
        <v>0</v>
      </c>
      <c r="H52" s="5" t="s">
        <v>48</v>
      </c>
      <c r="I52" s="5" t="s">
        <v>49</v>
      </c>
      <c r="J52" s="5" t="s">
        <v>57</v>
      </c>
    </row>
    <row r="53" customFormat="false" ht="15" hidden="false" customHeight="false" outlineLevel="0" collapsed="false">
      <c r="A53" s="7" t="s">
        <v>128</v>
      </c>
      <c r="B53" s="7" t="s">
        <v>32</v>
      </c>
      <c r="C53" s="7" t="s">
        <v>18</v>
      </c>
      <c r="D53" s="7" t="n">
        <v>84</v>
      </c>
      <c r="E53" s="7" t="s">
        <v>53</v>
      </c>
      <c r="F53" s="8" t="n">
        <v>18665</v>
      </c>
      <c r="G53" s="8" t="n">
        <v>0</v>
      </c>
      <c r="H53" s="7" t="s">
        <v>48</v>
      </c>
      <c r="I53" s="7" t="s">
        <v>49</v>
      </c>
      <c r="J53" s="7" t="s">
        <v>98</v>
      </c>
    </row>
    <row r="54" customFormat="false" ht="15" hidden="false" customHeight="false" outlineLevel="0" collapsed="false">
      <c r="A54" s="5" t="s">
        <v>129</v>
      </c>
      <c r="B54" s="5" t="s">
        <v>32</v>
      </c>
      <c r="C54" s="5" t="s">
        <v>18</v>
      </c>
      <c r="D54" s="5" t="n">
        <v>82</v>
      </c>
      <c r="E54" s="5" t="s">
        <v>126</v>
      </c>
      <c r="F54" s="6" t="n">
        <v>20463</v>
      </c>
      <c r="G54" s="6" t="n">
        <v>0</v>
      </c>
      <c r="H54" s="5" t="s">
        <v>48</v>
      </c>
      <c r="I54" s="5" t="s">
        <v>49</v>
      </c>
      <c r="J54" s="5" t="s">
        <v>57</v>
      </c>
    </row>
    <row r="55" customFormat="false" ht="15" hidden="false" customHeight="false" outlineLevel="0" collapsed="false">
      <c r="A55" s="7" t="s">
        <v>130</v>
      </c>
      <c r="B55" s="7" t="s">
        <v>32</v>
      </c>
      <c r="C55" s="7" t="s">
        <v>19</v>
      </c>
      <c r="D55" s="7" t="n">
        <v>80</v>
      </c>
      <c r="E55" s="7" t="s">
        <v>131</v>
      </c>
      <c r="F55" s="8" t="n">
        <v>28560</v>
      </c>
      <c r="G55" s="8" t="n">
        <v>0</v>
      </c>
      <c r="H55" s="7" t="s">
        <v>48</v>
      </c>
      <c r="I55" s="7" t="s">
        <v>49</v>
      </c>
      <c r="J55" s="7"/>
    </row>
    <row r="56" customFormat="false" ht="15" hidden="false" customHeight="false" outlineLevel="0" collapsed="false">
      <c r="A56" s="5" t="s">
        <v>132</v>
      </c>
      <c r="B56" s="5" t="s">
        <v>32</v>
      </c>
      <c r="C56" s="5" t="s">
        <v>20</v>
      </c>
      <c r="D56" s="5" t="n">
        <v>83</v>
      </c>
      <c r="E56" s="5" t="s">
        <v>133</v>
      </c>
      <c r="F56" s="6" t="n">
        <v>22191</v>
      </c>
      <c r="G56" s="6" t="n">
        <v>0</v>
      </c>
      <c r="H56" s="5" t="s">
        <v>48</v>
      </c>
      <c r="I56" s="5" t="s">
        <v>49</v>
      </c>
      <c r="J56" s="5"/>
    </row>
    <row r="57" customFormat="false" ht="15" hidden="false" customHeight="false" outlineLevel="0" collapsed="false">
      <c r="A57" s="7" t="s">
        <v>134</v>
      </c>
      <c r="B57" s="7" t="s">
        <v>32</v>
      </c>
      <c r="C57" s="7" t="s">
        <v>21</v>
      </c>
      <c r="D57" s="7" t="n">
        <v>86</v>
      </c>
      <c r="E57" s="7" t="s">
        <v>64</v>
      </c>
      <c r="F57" s="8" t="n">
        <v>14291</v>
      </c>
      <c r="G57" s="8" t="n">
        <v>0</v>
      </c>
      <c r="H57" s="7" t="s">
        <v>48</v>
      </c>
      <c r="I57" s="7" t="s">
        <v>49</v>
      </c>
      <c r="J57" s="7" t="s">
        <v>57</v>
      </c>
    </row>
    <row r="58" customFormat="false" ht="15" hidden="false" customHeight="false" outlineLevel="0" collapsed="false">
      <c r="A58" s="5" t="s">
        <v>135</v>
      </c>
      <c r="B58" s="5" t="s">
        <v>32</v>
      </c>
      <c r="C58" s="5" t="s">
        <v>23</v>
      </c>
      <c r="D58" s="5" t="n">
        <v>87</v>
      </c>
      <c r="E58" s="5" t="s">
        <v>100</v>
      </c>
      <c r="F58" s="6" t="n">
        <v>65055</v>
      </c>
      <c r="G58" s="6" t="n">
        <v>0</v>
      </c>
      <c r="H58" s="5" t="s">
        <v>48</v>
      </c>
      <c r="I58" s="5" t="s">
        <v>49</v>
      </c>
      <c r="J58" s="5"/>
    </row>
    <row r="59" customFormat="false" ht="15" hidden="false" customHeight="false" outlineLevel="0" collapsed="false">
      <c r="A59" s="7" t="s">
        <v>136</v>
      </c>
      <c r="B59" s="7" t="s">
        <v>32</v>
      </c>
      <c r="C59" s="7" t="s">
        <v>23</v>
      </c>
      <c r="D59" s="7" t="n">
        <v>85</v>
      </c>
      <c r="E59" s="7" t="s">
        <v>133</v>
      </c>
      <c r="F59" s="8" t="n">
        <v>10773</v>
      </c>
      <c r="G59" s="8" t="n">
        <v>0</v>
      </c>
      <c r="H59" s="7" t="s">
        <v>48</v>
      </c>
      <c r="I59" s="7" t="s">
        <v>49</v>
      </c>
      <c r="J59" s="7"/>
    </row>
    <row r="60" customFormat="false" ht="15" hidden="false" customHeight="false" outlineLevel="0" collapsed="false">
      <c r="A60" s="5" t="s">
        <v>137</v>
      </c>
      <c r="B60" s="5" t="s">
        <v>32</v>
      </c>
      <c r="C60" s="5" t="s">
        <v>25</v>
      </c>
      <c r="D60" s="5" t="n">
        <v>89</v>
      </c>
      <c r="E60" s="5" t="s">
        <v>138</v>
      </c>
      <c r="F60" s="6" t="n">
        <v>161077</v>
      </c>
      <c r="G60" s="6" t="n">
        <v>0</v>
      </c>
      <c r="H60" s="5" t="s">
        <v>48</v>
      </c>
      <c r="I60" s="5" t="s">
        <v>49</v>
      </c>
      <c r="J60" s="5"/>
    </row>
    <row r="61" customFormat="false" ht="15" hidden="false" customHeight="false" outlineLevel="0" collapsed="false">
      <c r="A61" s="7" t="s">
        <v>139</v>
      </c>
      <c r="B61" s="7" t="s">
        <v>32</v>
      </c>
      <c r="C61" s="7" t="s">
        <v>25</v>
      </c>
      <c r="D61" s="7" t="n">
        <v>82</v>
      </c>
      <c r="E61" s="7" t="s">
        <v>70</v>
      </c>
      <c r="F61" s="8" t="n">
        <v>38733</v>
      </c>
      <c r="G61" s="8" t="n">
        <v>0</v>
      </c>
      <c r="H61" s="7" t="s">
        <v>48</v>
      </c>
      <c r="I61" s="7" t="s">
        <v>49</v>
      </c>
      <c r="J61" s="7" t="s">
        <v>57</v>
      </c>
    </row>
    <row r="62" customFormat="false" ht="15" hidden="false" customHeight="false" outlineLevel="0" collapsed="false">
      <c r="A62" s="5" t="s">
        <v>140</v>
      </c>
      <c r="B62" s="5" t="s">
        <v>32</v>
      </c>
      <c r="C62" s="5" t="s">
        <v>26</v>
      </c>
      <c r="D62" s="5" t="n">
        <v>89</v>
      </c>
      <c r="E62" s="5" t="s">
        <v>47</v>
      </c>
      <c r="F62" s="6" t="n">
        <v>4742</v>
      </c>
      <c r="G62" s="6" t="n">
        <v>0</v>
      </c>
      <c r="H62" s="5" t="s">
        <v>48</v>
      </c>
      <c r="I62" s="5" t="s">
        <v>49</v>
      </c>
      <c r="J62" s="5"/>
    </row>
    <row r="63" customFormat="false" ht="15" hidden="false" customHeight="false" outlineLevel="0" collapsed="false">
      <c r="A63" s="7" t="s">
        <v>141</v>
      </c>
      <c r="B63" s="7" t="s">
        <v>32</v>
      </c>
      <c r="C63" s="7" t="s">
        <v>26</v>
      </c>
      <c r="D63" s="7" t="n">
        <v>87</v>
      </c>
      <c r="E63" s="7" t="s">
        <v>72</v>
      </c>
      <c r="F63" s="8" t="n">
        <v>16176</v>
      </c>
      <c r="G63" s="8" t="n">
        <v>0</v>
      </c>
      <c r="H63" s="7" t="s">
        <v>48</v>
      </c>
      <c r="I63" s="7" t="s">
        <v>49</v>
      </c>
      <c r="J63" s="7"/>
    </row>
    <row r="64" customFormat="false" ht="15" hidden="false" customHeight="false" outlineLevel="0" collapsed="false">
      <c r="A64" s="5" t="s">
        <v>142</v>
      </c>
      <c r="B64" s="5" t="s">
        <v>32</v>
      </c>
      <c r="C64" s="5" t="s">
        <v>27</v>
      </c>
      <c r="D64" s="5" t="n">
        <v>84</v>
      </c>
      <c r="E64" s="5" t="s">
        <v>143</v>
      </c>
      <c r="F64" s="6" t="n">
        <v>7767</v>
      </c>
      <c r="G64" s="6" t="n">
        <v>0</v>
      </c>
      <c r="H64" s="5" t="s">
        <v>48</v>
      </c>
      <c r="I64" s="5" t="s">
        <v>49</v>
      </c>
      <c r="J64" s="5"/>
    </row>
    <row r="65" customFormat="false" ht="15" hidden="false" customHeight="false" outlineLevel="0" collapsed="false">
      <c r="A65" s="7" t="s">
        <v>144</v>
      </c>
      <c r="B65" s="7" t="s">
        <v>32</v>
      </c>
      <c r="C65" s="7" t="s">
        <v>27</v>
      </c>
      <c r="D65" s="7" t="n">
        <v>84</v>
      </c>
      <c r="E65" s="7" t="s">
        <v>95</v>
      </c>
      <c r="F65" s="8" t="n">
        <v>7119</v>
      </c>
      <c r="G65" s="8" t="n">
        <v>0</v>
      </c>
      <c r="H65" s="7" t="s">
        <v>48</v>
      </c>
      <c r="I65" s="7" t="s">
        <v>49</v>
      </c>
      <c r="J65" s="7"/>
    </row>
    <row r="66" customFormat="false" ht="15" hidden="false" customHeight="false" outlineLevel="0" collapsed="false">
      <c r="A66" s="5" t="s">
        <v>145</v>
      </c>
      <c r="B66" s="5" t="s">
        <v>33</v>
      </c>
      <c r="C66" s="5" t="s">
        <v>17</v>
      </c>
      <c r="D66" s="5" t="n">
        <v>95</v>
      </c>
      <c r="E66" s="5" t="s">
        <v>146</v>
      </c>
      <c r="F66" s="6" t="n">
        <v>37226</v>
      </c>
      <c r="G66" s="6" t="n">
        <v>0</v>
      </c>
      <c r="H66" s="5" t="s">
        <v>48</v>
      </c>
      <c r="I66" s="5" t="s">
        <v>49</v>
      </c>
      <c r="J66" s="5"/>
    </row>
    <row r="67" customFormat="false" ht="15" hidden="false" customHeight="false" outlineLevel="0" collapsed="false">
      <c r="A67" s="7" t="s">
        <v>147</v>
      </c>
      <c r="B67" s="7" t="s">
        <v>33</v>
      </c>
      <c r="C67" s="7" t="s">
        <v>18</v>
      </c>
      <c r="D67" s="7" t="n">
        <v>96</v>
      </c>
      <c r="E67" s="7" t="s">
        <v>148</v>
      </c>
      <c r="F67" s="8" t="n">
        <v>66245</v>
      </c>
      <c r="G67" s="8" t="n">
        <v>0</v>
      </c>
      <c r="H67" s="7" t="s">
        <v>48</v>
      </c>
      <c r="I67" s="7" t="s">
        <v>49</v>
      </c>
      <c r="J67" s="7"/>
    </row>
    <row r="68" customFormat="false" ht="15" hidden="false" customHeight="false" outlineLevel="0" collapsed="false">
      <c r="A68" s="5" t="s">
        <v>149</v>
      </c>
      <c r="B68" s="5" t="s">
        <v>33</v>
      </c>
      <c r="C68" s="5" t="s">
        <v>20</v>
      </c>
      <c r="D68" s="5" t="n">
        <v>98</v>
      </c>
      <c r="E68" s="5" t="s">
        <v>124</v>
      </c>
      <c r="F68" s="6" t="n">
        <v>97189</v>
      </c>
      <c r="G68" s="6" t="n">
        <v>0</v>
      </c>
      <c r="H68" s="5" t="s">
        <v>48</v>
      </c>
      <c r="I68" s="5" t="s">
        <v>49</v>
      </c>
      <c r="J68" s="5"/>
    </row>
    <row r="69" customFormat="false" ht="15" hidden="false" customHeight="false" outlineLevel="0" collapsed="false">
      <c r="A69" s="7" t="s">
        <v>150</v>
      </c>
      <c r="B69" s="7" t="s">
        <v>33</v>
      </c>
      <c r="C69" s="7" t="s">
        <v>20</v>
      </c>
      <c r="D69" s="7" t="n">
        <v>98</v>
      </c>
      <c r="E69" s="7" t="s">
        <v>59</v>
      </c>
      <c r="F69" s="8" t="n">
        <v>26906</v>
      </c>
      <c r="G69" s="8" t="n">
        <v>0</v>
      </c>
      <c r="H69" s="7" t="s">
        <v>48</v>
      </c>
      <c r="I69" s="7" t="s">
        <v>49</v>
      </c>
      <c r="J69" s="7" t="s">
        <v>60</v>
      </c>
    </row>
    <row r="70" customFormat="false" ht="15" hidden="false" customHeight="false" outlineLevel="0" collapsed="false">
      <c r="A70" s="5" t="s">
        <v>151</v>
      </c>
      <c r="B70" s="5" t="s">
        <v>33</v>
      </c>
      <c r="C70" s="5" t="s">
        <v>21</v>
      </c>
      <c r="D70" s="5" t="n">
        <v>98</v>
      </c>
      <c r="E70" s="5" t="s">
        <v>59</v>
      </c>
      <c r="F70" s="6" t="n">
        <v>26719</v>
      </c>
      <c r="G70" s="6" t="n">
        <v>0</v>
      </c>
      <c r="H70" s="5" t="s">
        <v>48</v>
      </c>
      <c r="I70" s="5" t="s">
        <v>49</v>
      </c>
      <c r="J70" s="5" t="s">
        <v>60</v>
      </c>
    </row>
    <row r="71" customFormat="false" ht="15" hidden="false" customHeight="false" outlineLevel="0" collapsed="false">
      <c r="A71" s="7" t="s">
        <v>152</v>
      </c>
      <c r="B71" s="7" t="s">
        <v>33</v>
      </c>
      <c r="C71" s="7" t="s">
        <v>21</v>
      </c>
      <c r="D71" s="7" t="n">
        <v>93</v>
      </c>
      <c r="E71" s="7" t="s">
        <v>153</v>
      </c>
      <c r="F71" s="8" t="n">
        <v>28184</v>
      </c>
      <c r="G71" s="8" t="n">
        <v>0</v>
      </c>
      <c r="H71" s="7" t="s">
        <v>48</v>
      </c>
      <c r="I71" s="7" t="s">
        <v>49</v>
      </c>
      <c r="J71" s="7"/>
    </row>
    <row r="72" customFormat="false" ht="15" hidden="false" customHeight="false" outlineLevel="0" collapsed="false">
      <c r="A72" s="5" t="s">
        <v>154</v>
      </c>
      <c r="B72" s="5" t="s">
        <v>33</v>
      </c>
      <c r="C72" s="5" t="s">
        <v>22</v>
      </c>
      <c r="D72" s="5" t="n">
        <v>94</v>
      </c>
      <c r="E72" s="5" t="s">
        <v>155</v>
      </c>
      <c r="F72" s="6" t="n">
        <v>44068</v>
      </c>
      <c r="G72" s="6" t="n">
        <v>0</v>
      </c>
      <c r="H72" s="5" t="s">
        <v>48</v>
      </c>
      <c r="I72" s="5" t="s">
        <v>49</v>
      </c>
      <c r="J72" s="5"/>
    </row>
    <row r="73" customFormat="false" ht="15" hidden="false" customHeight="false" outlineLevel="0" collapsed="false">
      <c r="A73" s="7" t="s">
        <v>156</v>
      </c>
      <c r="B73" s="7" t="s">
        <v>33</v>
      </c>
      <c r="C73" s="7" t="s">
        <v>25</v>
      </c>
      <c r="D73" s="7" t="n">
        <v>97</v>
      </c>
      <c r="E73" s="7" t="s">
        <v>157</v>
      </c>
      <c r="F73" s="8" t="n">
        <v>52834</v>
      </c>
      <c r="G73" s="8" t="n">
        <v>0</v>
      </c>
      <c r="H73" s="7" t="s">
        <v>48</v>
      </c>
      <c r="I73" s="7" t="s">
        <v>49</v>
      </c>
      <c r="J73" s="7"/>
    </row>
    <row r="74" customFormat="false" ht="15" hidden="false" customHeight="false" outlineLevel="0" collapsed="false">
      <c r="A74" s="5" t="s">
        <v>158</v>
      </c>
      <c r="B74" s="5" t="s">
        <v>33</v>
      </c>
      <c r="C74" s="5" t="s">
        <v>25</v>
      </c>
      <c r="D74" s="5" t="n">
        <v>96</v>
      </c>
      <c r="E74" s="5" t="s">
        <v>80</v>
      </c>
      <c r="F74" s="6" t="n">
        <v>103752</v>
      </c>
      <c r="G74" s="6" t="n">
        <v>0</v>
      </c>
      <c r="H74" s="5" t="s">
        <v>48</v>
      </c>
      <c r="I74" s="5" t="s">
        <v>49</v>
      </c>
      <c r="J74" s="5"/>
    </row>
    <row r="75" customFormat="false" ht="15" hidden="false" customHeight="false" outlineLevel="0" collapsed="false">
      <c r="A75" s="7" t="s">
        <v>159</v>
      </c>
      <c r="B75" s="7" t="s">
        <v>33</v>
      </c>
      <c r="C75" s="7" t="s">
        <v>26</v>
      </c>
      <c r="D75" s="7" t="n">
        <v>99</v>
      </c>
      <c r="E75" s="7" t="s">
        <v>47</v>
      </c>
      <c r="F75" s="8" t="n">
        <v>32919</v>
      </c>
      <c r="G75" s="8" t="n">
        <v>0</v>
      </c>
      <c r="H75" s="7" t="s">
        <v>48</v>
      </c>
      <c r="I75" s="7" t="s">
        <v>49</v>
      </c>
      <c r="J75" s="7"/>
    </row>
    <row r="76" customFormat="false" ht="15" hidden="false" customHeight="false" outlineLevel="0" collapsed="false">
      <c r="A76" s="5" t="s">
        <v>160</v>
      </c>
      <c r="B76" s="5" t="s">
        <v>34</v>
      </c>
      <c r="C76" s="5" t="s">
        <v>16</v>
      </c>
      <c r="D76" s="5" t="n">
        <v>100</v>
      </c>
      <c r="E76" s="5" t="s">
        <v>47</v>
      </c>
      <c r="F76" s="6" t="n">
        <v>58770</v>
      </c>
      <c r="G76" s="6" t="n">
        <v>0</v>
      </c>
      <c r="H76" s="5" t="s">
        <v>48</v>
      </c>
      <c r="I76" s="5" t="s">
        <v>49</v>
      </c>
      <c r="J76" s="5"/>
    </row>
  </sheetData>
  <autoFilter ref="A1:J7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"/>
    <col collapsed="false" customWidth="true" hidden="false" outlineLevel="0" max="4" min="3" style="0" width="6"/>
    <col collapsed="false" customWidth="true" hidden="false" outlineLevel="0" max="5" min="5" style="0" width="11"/>
    <col collapsed="false" customWidth="true" hidden="false" outlineLevel="0" max="7" min="6" style="0" width="10"/>
    <col collapsed="false" customWidth="true" hidden="false" outlineLevel="0" max="9" min="8" style="0" width="8"/>
    <col collapsed="false" customWidth="true" hidden="false" outlineLevel="0" max="10" min="10" style="0" width="9"/>
  </cols>
  <sheetData>
    <row r="1" customFormat="false" ht="15" hidden="false" customHeight="false" outlineLevel="0" collapsed="false">
      <c r="A1" s="4" t="s">
        <v>37</v>
      </c>
      <c r="B1" s="4" t="s">
        <v>15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</row>
    <row r="2" customFormat="false" ht="15" hidden="false" customHeight="false" outlineLevel="0" collapsed="false">
      <c r="A2" s="5" t="s">
        <v>161</v>
      </c>
      <c r="B2" s="5" t="s">
        <v>29</v>
      </c>
      <c r="C2" s="5" t="s">
        <v>17</v>
      </c>
      <c r="D2" s="5" t="n">
        <v>59</v>
      </c>
      <c r="E2" s="5" t="s">
        <v>162</v>
      </c>
      <c r="F2" s="6" t="n">
        <v>27402</v>
      </c>
      <c r="G2" s="6" t="n">
        <v>234</v>
      </c>
      <c r="H2" s="5" t="s">
        <v>48</v>
      </c>
      <c r="I2" s="5" t="s">
        <v>163</v>
      </c>
      <c r="J2" s="5" t="s">
        <v>164</v>
      </c>
    </row>
    <row r="3" customFormat="false" ht="15" hidden="false" customHeight="false" outlineLevel="0" collapsed="false">
      <c r="A3" s="7" t="s">
        <v>165</v>
      </c>
      <c r="B3" s="7" t="s">
        <v>29</v>
      </c>
      <c r="C3" s="7" t="s">
        <v>25</v>
      </c>
      <c r="D3" s="7" t="n">
        <v>59</v>
      </c>
      <c r="E3" s="7" t="s">
        <v>166</v>
      </c>
      <c r="F3" s="8" t="n">
        <v>11063</v>
      </c>
      <c r="G3" s="8" t="n">
        <v>6100</v>
      </c>
      <c r="H3" s="7" t="s">
        <v>48</v>
      </c>
      <c r="I3" s="7" t="s">
        <v>163</v>
      </c>
      <c r="J3" s="7" t="s">
        <v>164</v>
      </c>
    </row>
    <row r="4" customFormat="false" ht="15" hidden="false" customHeight="false" outlineLevel="0" collapsed="false">
      <c r="A4" s="5" t="s">
        <v>167</v>
      </c>
      <c r="B4" s="5" t="s">
        <v>30</v>
      </c>
      <c r="C4" s="5" t="s">
        <v>19</v>
      </c>
      <c r="D4" s="5" t="n">
        <v>68</v>
      </c>
      <c r="E4" s="5" t="s">
        <v>162</v>
      </c>
      <c r="F4" s="6" t="n">
        <v>40977</v>
      </c>
      <c r="G4" s="6" t="n">
        <v>7890</v>
      </c>
      <c r="H4" s="5" t="s">
        <v>48</v>
      </c>
      <c r="I4" s="5" t="s">
        <v>163</v>
      </c>
      <c r="J4" s="5" t="s">
        <v>164</v>
      </c>
    </row>
    <row r="5" customFormat="false" ht="15" hidden="false" customHeight="false" outlineLevel="0" collapsed="false">
      <c r="A5" s="7" t="s">
        <v>168</v>
      </c>
      <c r="B5" s="7" t="s">
        <v>30</v>
      </c>
      <c r="C5" s="7" t="s">
        <v>22</v>
      </c>
      <c r="D5" s="7" t="n">
        <v>64</v>
      </c>
      <c r="E5" s="7" t="s">
        <v>169</v>
      </c>
      <c r="F5" s="8" t="n">
        <v>31962</v>
      </c>
      <c r="G5" s="8" t="n">
        <v>5000</v>
      </c>
      <c r="H5" s="7" t="s">
        <v>48</v>
      </c>
      <c r="I5" s="7" t="s">
        <v>163</v>
      </c>
      <c r="J5" s="7" t="s">
        <v>164</v>
      </c>
    </row>
    <row r="6" customFormat="false" ht="15" hidden="false" customHeight="false" outlineLevel="0" collapsed="false">
      <c r="A6" s="5" t="s">
        <v>170</v>
      </c>
      <c r="B6" s="5" t="s">
        <v>30</v>
      </c>
      <c r="C6" s="5" t="s">
        <v>25</v>
      </c>
      <c r="D6" s="5" t="n">
        <v>69</v>
      </c>
      <c r="E6" s="5" t="s">
        <v>171</v>
      </c>
      <c r="F6" s="6" t="n">
        <v>30968</v>
      </c>
      <c r="G6" s="6" t="n">
        <v>26</v>
      </c>
      <c r="H6" s="5" t="s">
        <v>48</v>
      </c>
      <c r="I6" s="5" t="s">
        <v>163</v>
      </c>
      <c r="J6" s="5" t="s">
        <v>164</v>
      </c>
    </row>
    <row r="7" customFormat="false" ht="15" hidden="false" customHeight="false" outlineLevel="0" collapsed="false">
      <c r="A7" s="7" t="s">
        <v>172</v>
      </c>
      <c r="B7" s="7" t="s">
        <v>30</v>
      </c>
      <c r="C7" s="7" t="s">
        <v>25</v>
      </c>
      <c r="D7" s="7" t="n">
        <v>68</v>
      </c>
      <c r="E7" s="7" t="s">
        <v>173</v>
      </c>
      <c r="F7" s="8" t="n">
        <v>27171</v>
      </c>
      <c r="G7" s="8" t="n">
        <v>5000</v>
      </c>
      <c r="H7" s="7" t="s">
        <v>48</v>
      </c>
      <c r="I7" s="7" t="s">
        <v>163</v>
      </c>
      <c r="J7" s="7" t="s">
        <v>164</v>
      </c>
    </row>
    <row r="8" customFormat="false" ht="15" hidden="false" customHeight="false" outlineLevel="0" collapsed="false">
      <c r="A8" s="5" t="s">
        <v>174</v>
      </c>
      <c r="B8" s="5" t="s">
        <v>30</v>
      </c>
      <c r="C8" s="5" t="s">
        <v>25</v>
      </c>
      <c r="D8" s="5" t="n">
        <v>66</v>
      </c>
      <c r="E8" s="5" t="s">
        <v>175</v>
      </c>
      <c r="F8" s="6" t="n">
        <v>23976</v>
      </c>
      <c r="G8" s="6" t="n">
        <v>1111</v>
      </c>
      <c r="H8" s="5" t="s">
        <v>48</v>
      </c>
      <c r="I8" s="5" t="s">
        <v>163</v>
      </c>
      <c r="J8" s="5" t="s">
        <v>164</v>
      </c>
    </row>
    <row r="9" customFormat="false" ht="15" hidden="false" customHeight="false" outlineLevel="0" collapsed="false">
      <c r="A9" s="7" t="s">
        <v>176</v>
      </c>
      <c r="B9" s="7" t="s">
        <v>30</v>
      </c>
      <c r="C9" s="7" t="s">
        <v>27</v>
      </c>
      <c r="D9" s="7" t="n">
        <v>65</v>
      </c>
      <c r="E9" s="7" t="s">
        <v>74</v>
      </c>
      <c r="F9" s="8" t="n">
        <v>38218</v>
      </c>
      <c r="G9" s="8" t="n">
        <v>11111</v>
      </c>
      <c r="H9" s="7" t="s">
        <v>48</v>
      </c>
      <c r="I9" s="7" t="s">
        <v>163</v>
      </c>
      <c r="J9" s="7" t="s">
        <v>164</v>
      </c>
    </row>
    <row r="10" customFormat="false" ht="15" hidden="false" customHeight="false" outlineLevel="0" collapsed="false">
      <c r="A10" s="5" t="s">
        <v>177</v>
      </c>
      <c r="B10" s="5" t="s">
        <v>31</v>
      </c>
      <c r="C10" s="5" t="s">
        <v>18</v>
      </c>
      <c r="D10" s="5" t="n">
        <v>75</v>
      </c>
      <c r="E10" s="5" t="s">
        <v>131</v>
      </c>
      <c r="F10" s="6" t="n">
        <v>41500</v>
      </c>
      <c r="G10" s="6" t="n">
        <v>0</v>
      </c>
      <c r="H10" s="5" t="s">
        <v>48</v>
      </c>
      <c r="I10" s="5" t="s">
        <v>163</v>
      </c>
      <c r="J10" s="5" t="s">
        <v>164</v>
      </c>
    </row>
    <row r="11" customFormat="false" ht="15" hidden="false" customHeight="false" outlineLevel="0" collapsed="false">
      <c r="A11" s="7" t="s">
        <v>178</v>
      </c>
      <c r="B11" s="7" t="s">
        <v>31</v>
      </c>
      <c r="C11" s="7" t="s">
        <v>19</v>
      </c>
      <c r="D11" s="7" t="n">
        <v>77</v>
      </c>
      <c r="E11" s="7" t="s">
        <v>179</v>
      </c>
      <c r="F11" s="8" t="n">
        <v>70965</v>
      </c>
      <c r="G11" s="8" t="n">
        <v>10000</v>
      </c>
      <c r="H11" s="7" t="s">
        <v>48</v>
      </c>
      <c r="I11" s="7" t="s">
        <v>163</v>
      </c>
      <c r="J11" s="7" t="s">
        <v>164</v>
      </c>
    </row>
    <row r="12" customFormat="false" ht="15" hidden="false" customHeight="false" outlineLevel="0" collapsed="false">
      <c r="A12" s="5" t="s">
        <v>180</v>
      </c>
      <c r="B12" s="5" t="s">
        <v>31</v>
      </c>
      <c r="C12" s="5" t="s">
        <v>22</v>
      </c>
      <c r="D12" s="5" t="n">
        <v>70</v>
      </c>
      <c r="E12" s="5" t="s">
        <v>181</v>
      </c>
      <c r="F12" s="6" t="n">
        <v>40218</v>
      </c>
      <c r="G12" s="6" t="n">
        <v>11111</v>
      </c>
      <c r="H12" s="5" t="s">
        <v>48</v>
      </c>
      <c r="I12" s="5" t="s">
        <v>163</v>
      </c>
      <c r="J12" s="5" t="s">
        <v>164</v>
      </c>
    </row>
    <row r="13" customFormat="false" ht="15" hidden="false" customHeight="false" outlineLevel="0" collapsed="false">
      <c r="A13" s="7" t="s">
        <v>182</v>
      </c>
      <c r="B13" s="7" t="s">
        <v>31</v>
      </c>
      <c r="C13" s="7" t="s">
        <v>23</v>
      </c>
      <c r="D13" s="7" t="n">
        <v>75</v>
      </c>
      <c r="E13" s="7" t="s">
        <v>131</v>
      </c>
      <c r="F13" s="8" t="n">
        <v>30676</v>
      </c>
      <c r="G13" s="8" t="n">
        <v>7777</v>
      </c>
      <c r="H13" s="7" t="s">
        <v>48</v>
      </c>
      <c r="I13" s="7" t="s">
        <v>163</v>
      </c>
      <c r="J13" s="7" t="s">
        <v>164</v>
      </c>
    </row>
    <row r="14" customFormat="false" ht="15" hidden="false" customHeight="false" outlineLevel="0" collapsed="false">
      <c r="A14" s="5" t="s">
        <v>183</v>
      </c>
      <c r="B14" s="5" t="s">
        <v>31</v>
      </c>
      <c r="C14" s="5" t="s">
        <v>25</v>
      </c>
      <c r="D14" s="5" t="n">
        <v>78</v>
      </c>
      <c r="E14" s="5" t="s">
        <v>173</v>
      </c>
      <c r="F14" s="6" t="n">
        <v>38456</v>
      </c>
      <c r="G14" s="6" t="n">
        <v>5555</v>
      </c>
      <c r="H14" s="5" t="s">
        <v>48</v>
      </c>
      <c r="I14" s="5" t="s">
        <v>163</v>
      </c>
      <c r="J14" s="5" t="s">
        <v>164</v>
      </c>
    </row>
    <row r="15" customFormat="false" ht="15" hidden="false" customHeight="false" outlineLevel="0" collapsed="false">
      <c r="A15" s="7" t="s">
        <v>184</v>
      </c>
      <c r="B15" s="7" t="s">
        <v>31</v>
      </c>
      <c r="C15" s="7" t="s">
        <v>27</v>
      </c>
      <c r="D15" s="7" t="n">
        <v>74</v>
      </c>
      <c r="E15" s="7" t="s">
        <v>162</v>
      </c>
      <c r="F15" s="8" t="n">
        <v>47087</v>
      </c>
      <c r="G15" s="8" t="n">
        <v>45556</v>
      </c>
      <c r="H15" s="7" t="s">
        <v>48</v>
      </c>
      <c r="I15" s="7" t="s">
        <v>163</v>
      </c>
      <c r="J15" s="7" t="s">
        <v>164</v>
      </c>
    </row>
    <row r="16" customFormat="false" ht="15" hidden="false" customHeight="false" outlineLevel="0" collapsed="false">
      <c r="A16" s="5" t="s">
        <v>185</v>
      </c>
      <c r="B16" s="5" t="s">
        <v>32</v>
      </c>
      <c r="C16" s="5" t="s">
        <v>23</v>
      </c>
      <c r="D16" s="5" t="n">
        <v>87</v>
      </c>
      <c r="E16" s="5" t="s">
        <v>179</v>
      </c>
      <c r="F16" s="6" t="n">
        <v>42750</v>
      </c>
      <c r="G16" s="6" t="n">
        <v>11111</v>
      </c>
      <c r="H16" s="5" t="s">
        <v>48</v>
      </c>
      <c r="I16" s="5" t="s">
        <v>163</v>
      </c>
      <c r="J16" s="5" t="s">
        <v>164</v>
      </c>
    </row>
    <row r="17" customFormat="false" ht="15" hidden="false" customHeight="false" outlineLevel="0" collapsed="false">
      <c r="A17" s="7" t="s">
        <v>186</v>
      </c>
      <c r="B17" s="7" t="s">
        <v>32</v>
      </c>
      <c r="C17" s="7" t="s">
        <v>25</v>
      </c>
      <c r="D17" s="7" t="n">
        <v>86</v>
      </c>
      <c r="E17" s="7" t="s">
        <v>173</v>
      </c>
      <c r="F17" s="8" t="n">
        <v>48557</v>
      </c>
      <c r="G17" s="8" t="n">
        <v>23999</v>
      </c>
      <c r="H17" s="7" t="s">
        <v>48</v>
      </c>
      <c r="I17" s="7" t="s">
        <v>163</v>
      </c>
      <c r="J17" s="7" t="s">
        <v>164</v>
      </c>
    </row>
    <row r="18" customFormat="false" ht="15" hidden="false" customHeight="false" outlineLevel="0" collapsed="false">
      <c r="A18" s="5" t="s">
        <v>187</v>
      </c>
      <c r="B18" s="5" t="s">
        <v>32</v>
      </c>
      <c r="C18" s="5" t="s">
        <v>26</v>
      </c>
      <c r="D18" s="5" t="n">
        <v>89</v>
      </c>
      <c r="E18" s="5" t="s">
        <v>74</v>
      </c>
      <c r="F18" s="6" t="n">
        <v>40562</v>
      </c>
      <c r="G18" s="6" t="n">
        <v>10001</v>
      </c>
      <c r="H18" s="5" t="s">
        <v>48</v>
      </c>
      <c r="I18" s="5" t="s">
        <v>163</v>
      </c>
      <c r="J18" s="5" t="s">
        <v>164</v>
      </c>
    </row>
    <row r="19" customFormat="false" ht="15" hidden="false" customHeight="false" outlineLevel="0" collapsed="false">
      <c r="A19" s="7" t="s">
        <v>188</v>
      </c>
      <c r="B19" s="7" t="s">
        <v>32</v>
      </c>
      <c r="C19" s="7" t="s">
        <v>26</v>
      </c>
      <c r="D19" s="7" t="n">
        <v>83</v>
      </c>
      <c r="E19" s="7" t="s">
        <v>173</v>
      </c>
      <c r="F19" s="8" t="n">
        <v>7364</v>
      </c>
      <c r="G19" s="8" t="n">
        <v>5000</v>
      </c>
      <c r="H19" s="7" t="s">
        <v>48</v>
      </c>
      <c r="I19" s="7" t="s">
        <v>163</v>
      </c>
      <c r="J19" s="7" t="s">
        <v>164</v>
      </c>
    </row>
    <row r="20" customFormat="false" ht="15" hidden="false" customHeight="false" outlineLevel="0" collapsed="false">
      <c r="A20" s="5" t="s">
        <v>189</v>
      </c>
      <c r="B20" s="5" t="s">
        <v>33</v>
      </c>
      <c r="C20" s="5" t="s">
        <v>18</v>
      </c>
      <c r="D20" s="5" t="n">
        <v>90</v>
      </c>
      <c r="E20" s="5" t="s">
        <v>179</v>
      </c>
      <c r="F20" s="6" t="n">
        <v>73397</v>
      </c>
      <c r="G20" s="6" t="n">
        <v>19647</v>
      </c>
      <c r="H20" s="5" t="s">
        <v>48</v>
      </c>
      <c r="I20" s="5" t="s">
        <v>163</v>
      </c>
      <c r="J20" s="5" t="s">
        <v>164</v>
      </c>
    </row>
    <row r="21" customFormat="false" ht="15" hidden="false" customHeight="false" outlineLevel="0" collapsed="false">
      <c r="A21" s="7" t="s">
        <v>190</v>
      </c>
      <c r="B21" s="7" t="s">
        <v>33</v>
      </c>
      <c r="C21" s="7" t="s">
        <v>21</v>
      </c>
      <c r="D21" s="7" t="n">
        <v>93</v>
      </c>
      <c r="E21" s="7" t="s">
        <v>179</v>
      </c>
      <c r="F21" s="8" t="n">
        <v>41693</v>
      </c>
      <c r="G21" s="8" t="n">
        <v>21250</v>
      </c>
      <c r="H21" s="7" t="s">
        <v>48</v>
      </c>
      <c r="I21" s="7" t="s">
        <v>163</v>
      </c>
      <c r="J21" s="7" t="s">
        <v>164</v>
      </c>
    </row>
    <row r="22" customFormat="false" ht="15" hidden="false" customHeight="false" outlineLevel="0" collapsed="false">
      <c r="A22" s="5" t="s">
        <v>191</v>
      </c>
      <c r="B22" s="5" t="s">
        <v>33</v>
      </c>
      <c r="C22" s="5" t="s">
        <v>25</v>
      </c>
      <c r="D22" s="5" t="n">
        <v>98</v>
      </c>
      <c r="E22" s="5" t="s">
        <v>173</v>
      </c>
      <c r="F22" s="6" t="n">
        <v>64954</v>
      </c>
      <c r="G22" s="6" t="n">
        <v>53000</v>
      </c>
      <c r="H22" s="5" t="s">
        <v>48</v>
      </c>
      <c r="I22" s="5" t="s">
        <v>163</v>
      </c>
      <c r="J22" s="5" t="s">
        <v>164</v>
      </c>
    </row>
  </sheetData>
  <autoFilter ref="A1:J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"/>
    <col collapsed="false" customWidth="true" hidden="false" outlineLevel="0" max="4" min="3" style="0" width="6"/>
    <col collapsed="false" customWidth="true" hidden="false" outlineLevel="0" max="5" min="5" style="0" width="11"/>
    <col collapsed="false" customWidth="true" hidden="false" outlineLevel="0" max="7" min="6" style="0" width="10"/>
    <col collapsed="false" customWidth="true" hidden="false" outlineLevel="0" max="9" min="8" style="0" width="8"/>
    <col collapsed="false" customWidth="true" hidden="false" outlineLevel="0" max="10" min="10" style="0" width="9"/>
  </cols>
  <sheetData>
    <row r="1" customFormat="false" ht="15" hidden="false" customHeight="false" outlineLevel="0" collapsed="false">
      <c r="A1" s="4" t="s">
        <v>37</v>
      </c>
      <c r="B1" s="4" t="s">
        <v>15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</row>
    <row r="2" customFormat="false" ht="15" hidden="false" customHeight="false" outlineLevel="0" collapsed="false">
      <c r="A2" s="5" t="s">
        <v>192</v>
      </c>
      <c r="B2" s="5" t="s">
        <v>34</v>
      </c>
      <c r="C2" s="5" t="s">
        <v>25</v>
      </c>
      <c r="D2" s="5" t="n">
        <v>101</v>
      </c>
      <c r="E2" s="5" t="s">
        <v>82</v>
      </c>
      <c r="F2" s="6" t="n">
        <v>397430</v>
      </c>
      <c r="G2" s="6" t="n">
        <v>230000</v>
      </c>
      <c r="H2" s="5" t="s">
        <v>193</v>
      </c>
      <c r="I2" s="5" t="s">
        <v>163</v>
      </c>
      <c r="J2" s="5" t="s">
        <v>57</v>
      </c>
    </row>
    <row r="3" customFormat="false" ht="15" hidden="false" customHeight="false" outlineLevel="0" collapsed="false">
      <c r="A3" s="7" t="s">
        <v>194</v>
      </c>
      <c r="B3" s="7" t="s">
        <v>34</v>
      </c>
      <c r="C3" s="7" t="s">
        <v>27</v>
      </c>
      <c r="D3" s="7" t="n">
        <v>101</v>
      </c>
      <c r="E3" s="7" t="s">
        <v>131</v>
      </c>
      <c r="F3" s="8" t="n">
        <v>196896</v>
      </c>
      <c r="G3" s="8" t="n">
        <v>180100</v>
      </c>
      <c r="H3" s="7" t="s">
        <v>193</v>
      </c>
      <c r="I3" s="7" t="s">
        <v>163</v>
      </c>
      <c r="J3" s="7"/>
    </row>
    <row r="4" customFormat="false" ht="15" hidden="false" customHeight="false" outlineLevel="0" collapsed="false">
      <c r="A4" s="5" t="s">
        <v>195</v>
      </c>
      <c r="B4" s="5" t="s">
        <v>34</v>
      </c>
      <c r="C4" s="5" t="s">
        <v>17</v>
      </c>
      <c r="D4" s="5" t="n">
        <v>101</v>
      </c>
      <c r="E4" s="5" t="s">
        <v>76</v>
      </c>
      <c r="F4" s="6" t="n">
        <v>205344</v>
      </c>
      <c r="G4" s="6" t="n">
        <v>145000</v>
      </c>
      <c r="H4" s="5" t="s">
        <v>193</v>
      </c>
      <c r="I4" s="5" t="s">
        <v>163</v>
      </c>
      <c r="J4" s="5"/>
    </row>
    <row r="5" customFormat="false" ht="15" hidden="false" customHeight="false" outlineLevel="0" collapsed="false">
      <c r="A5" s="7" t="s">
        <v>196</v>
      </c>
      <c r="B5" s="7" t="s">
        <v>34</v>
      </c>
      <c r="C5" s="7" t="s">
        <v>19</v>
      </c>
      <c r="D5" s="7" t="n">
        <v>101</v>
      </c>
      <c r="E5" s="7" t="s">
        <v>82</v>
      </c>
      <c r="F5" s="8" t="n">
        <v>152409</v>
      </c>
      <c r="G5" s="8" t="n">
        <v>128501</v>
      </c>
      <c r="H5" s="7" t="s">
        <v>193</v>
      </c>
      <c r="I5" s="7" t="s">
        <v>163</v>
      </c>
      <c r="J5" s="7" t="s">
        <v>109</v>
      </c>
    </row>
    <row r="6" customFormat="false" ht="15" hidden="false" customHeight="false" outlineLevel="0" collapsed="false">
      <c r="A6" s="5" t="s">
        <v>197</v>
      </c>
      <c r="B6" s="5" t="s">
        <v>34</v>
      </c>
      <c r="C6" s="5" t="s">
        <v>19</v>
      </c>
      <c r="D6" s="5" t="n">
        <v>101</v>
      </c>
      <c r="E6" s="5" t="s">
        <v>76</v>
      </c>
      <c r="F6" s="6" t="n">
        <v>135920</v>
      </c>
      <c r="G6" s="6" t="n">
        <v>110000</v>
      </c>
      <c r="H6" s="5" t="s">
        <v>193</v>
      </c>
      <c r="I6" s="5" t="s">
        <v>163</v>
      </c>
      <c r="J6" s="5"/>
    </row>
    <row r="7" customFormat="false" ht="15" hidden="false" customHeight="false" outlineLevel="0" collapsed="false">
      <c r="A7" s="7" t="s">
        <v>198</v>
      </c>
      <c r="B7" s="7" t="s">
        <v>34</v>
      </c>
      <c r="C7" s="7" t="s">
        <v>25</v>
      </c>
      <c r="D7" s="7" t="n">
        <v>100</v>
      </c>
      <c r="E7" s="7" t="s">
        <v>199</v>
      </c>
      <c r="F7" s="8" t="n">
        <v>103714</v>
      </c>
      <c r="G7" s="8" t="n">
        <v>95000</v>
      </c>
      <c r="H7" s="7" t="s">
        <v>193</v>
      </c>
      <c r="I7" s="7" t="s">
        <v>163</v>
      </c>
      <c r="J7" s="7"/>
    </row>
    <row r="8" customFormat="false" ht="15" hidden="false" customHeight="false" outlineLevel="0" collapsed="false">
      <c r="A8" s="5" t="s">
        <v>200</v>
      </c>
      <c r="B8" s="5" t="s">
        <v>34</v>
      </c>
      <c r="C8" s="5" t="s">
        <v>25</v>
      </c>
      <c r="D8" s="5" t="n">
        <v>101</v>
      </c>
      <c r="E8" s="5" t="s">
        <v>201</v>
      </c>
      <c r="F8" s="6" t="n">
        <v>115711</v>
      </c>
      <c r="G8" s="6" t="n">
        <v>95000</v>
      </c>
      <c r="H8" s="5" t="s">
        <v>193</v>
      </c>
      <c r="I8" s="5" t="s">
        <v>163</v>
      </c>
      <c r="J8" s="5"/>
    </row>
    <row r="9" customFormat="false" ht="15" hidden="false" customHeight="false" outlineLevel="0" collapsed="false">
      <c r="A9" s="7" t="s">
        <v>202</v>
      </c>
      <c r="B9" s="7" t="s">
        <v>34</v>
      </c>
      <c r="C9" s="7" t="s">
        <v>16</v>
      </c>
      <c r="D9" s="7" t="n">
        <v>101</v>
      </c>
      <c r="E9" s="7" t="s">
        <v>203</v>
      </c>
      <c r="F9" s="8" t="n">
        <v>113200</v>
      </c>
      <c r="G9" s="8" t="n">
        <v>90000</v>
      </c>
      <c r="H9" s="7" t="s">
        <v>193</v>
      </c>
      <c r="I9" s="7" t="s">
        <v>163</v>
      </c>
      <c r="J9" s="7"/>
    </row>
    <row r="10" customFormat="false" ht="15" hidden="false" customHeight="false" outlineLevel="0" collapsed="false">
      <c r="A10" s="5" t="s">
        <v>204</v>
      </c>
      <c r="B10" s="5" t="s">
        <v>33</v>
      </c>
      <c r="C10" s="5" t="s">
        <v>20</v>
      </c>
      <c r="D10" s="5" t="n">
        <v>99</v>
      </c>
      <c r="E10" s="5" t="s">
        <v>205</v>
      </c>
      <c r="F10" s="6" t="n">
        <v>111565</v>
      </c>
      <c r="G10" s="6" t="n">
        <v>90000</v>
      </c>
      <c r="H10" s="5" t="s">
        <v>193</v>
      </c>
      <c r="I10" s="5" t="s">
        <v>163</v>
      </c>
      <c r="J10" s="5" t="s">
        <v>109</v>
      </c>
    </row>
    <row r="11" customFormat="false" ht="15" hidden="false" customHeight="false" outlineLevel="0" collapsed="false">
      <c r="A11" s="7" t="s">
        <v>206</v>
      </c>
      <c r="B11" s="7" t="s">
        <v>33</v>
      </c>
      <c r="C11" s="7" t="s">
        <v>16</v>
      </c>
      <c r="D11" s="7" t="n">
        <v>93</v>
      </c>
      <c r="E11" s="7" t="s">
        <v>207</v>
      </c>
      <c r="F11" s="8" t="n">
        <v>86653</v>
      </c>
      <c r="G11" s="8" t="n">
        <v>71000</v>
      </c>
      <c r="H11" s="7" t="s">
        <v>193</v>
      </c>
      <c r="I11" s="7" t="s">
        <v>163</v>
      </c>
      <c r="J11" s="7"/>
    </row>
    <row r="12" customFormat="false" ht="15" hidden="false" customHeight="false" outlineLevel="0" collapsed="false">
      <c r="A12" s="5" t="s">
        <v>208</v>
      </c>
      <c r="B12" s="5" t="s">
        <v>34</v>
      </c>
      <c r="C12" s="5" t="s">
        <v>17</v>
      </c>
      <c r="D12" s="5" t="n">
        <v>100</v>
      </c>
      <c r="E12" s="5" t="s">
        <v>201</v>
      </c>
      <c r="F12" s="6" t="n">
        <v>82983</v>
      </c>
      <c r="G12" s="6" t="n">
        <v>60001</v>
      </c>
      <c r="H12" s="5" t="s">
        <v>48</v>
      </c>
      <c r="I12" s="5" t="s">
        <v>163</v>
      </c>
      <c r="J12" s="5" t="s">
        <v>109</v>
      </c>
    </row>
    <row r="13" customFormat="false" ht="15" hidden="false" customHeight="false" outlineLevel="0" collapsed="false">
      <c r="A13" s="7" t="s">
        <v>209</v>
      </c>
      <c r="B13" s="7" t="s">
        <v>34</v>
      </c>
      <c r="C13" s="7" t="s">
        <v>27</v>
      </c>
      <c r="D13" s="7" t="n">
        <v>101</v>
      </c>
      <c r="E13" s="7" t="s">
        <v>203</v>
      </c>
      <c r="F13" s="8" t="n">
        <v>82446</v>
      </c>
      <c r="G13" s="8" t="n">
        <v>60000</v>
      </c>
      <c r="H13" s="7" t="s">
        <v>193</v>
      </c>
      <c r="I13" s="7" t="s">
        <v>163</v>
      </c>
      <c r="J13" s="7" t="s">
        <v>109</v>
      </c>
    </row>
    <row r="14" customFormat="false" ht="15" hidden="false" customHeight="false" outlineLevel="0" collapsed="false">
      <c r="A14" s="5" t="s">
        <v>191</v>
      </c>
      <c r="B14" s="5" t="s">
        <v>33</v>
      </c>
      <c r="C14" s="5" t="s">
        <v>25</v>
      </c>
      <c r="D14" s="5" t="n">
        <v>98</v>
      </c>
      <c r="E14" s="5" t="s">
        <v>173</v>
      </c>
      <c r="F14" s="6" t="n">
        <v>64954</v>
      </c>
      <c r="G14" s="6" t="n">
        <v>53000</v>
      </c>
      <c r="H14" s="5" t="s">
        <v>48</v>
      </c>
      <c r="I14" s="5" t="s">
        <v>163</v>
      </c>
      <c r="J14" s="5" t="s">
        <v>164</v>
      </c>
    </row>
    <row r="15" customFormat="false" ht="15" hidden="false" customHeight="false" outlineLevel="0" collapsed="false">
      <c r="A15" s="7" t="s">
        <v>210</v>
      </c>
      <c r="B15" s="7" t="s">
        <v>34</v>
      </c>
      <c r="C15" s="7" t="s">
        <v>27</v>
      </c>
      <c r="D15" s="7" t="n">
        <v>100</v>
      </c>
      <c r="E15" s="7" t="s">
        <v>211</v>
      </c>
      <c r="F15" s="8" t="n">
        <v>57278</v>
      </c>
      <c r="G15" s="8" t="n">
        <v>49002</v>
      </c>
      <c r="H15" s="7" t="s">
        <v>193</v>
      </c>
      <c r="I15" s="7" t="s">
        <v>163</v>
      </c>
      <c r="J15" s="7"/>
    </row>
    <row r="16" customFormat="false" ht="15" hidden="false" customHeight="false" outlineLevel="0" collapsed="false">
      <c r="A16" s="5" t="s">
        <v>212</v>
      </c>
      <c r="B16" s="5" t="s">
        <v>34</v>
      </c>
      <c r="C16" s="5" t="s">
        <v>27</v>
      </c>
      <c r="D16" s="5" t="n">
        <v>100</v>
      </c>
      <c r="E16" s="5" t="s">
        <v>138</v>
      </c>
      <c r="F16" s="6" t="n">
        <v>48080</v>
      </c>
      <c r="G16" s="6" t="n">
        <v>47500</v>
      </c>
      <c r="H16" s="5" t="s">
        <v>193</v>
      </c>
      <c r="I16" s="5" t="s">
        <v>163</v>
      </c>
      <c r="J16" s="5"/>
    </row>
    <row r="17" customFormat="false" ht="15" hidden="false" customHeight="false" outlineLevel="0" collapsed="false">
      <c r="A17" s="7" t="s">
        <v>184</v>
      </c>
      <c r="B17" s="7" t="s">
        <v>31</v>
      </c>
      <c r="C17" s="7" t="s">
        <v>27</v>
      </c>
      <c r="D17" s="7" t="n">
        <v>74</v>
      </c>
      <c r="E17" s="7" t="s">
        <v>162</v>
      </c>
      <c r="F17" s="8" t="n">
        <v>47087</v>
      </c>
      <c r="G17" s="8" t="n">
        <v>45556</v>
      </c>
      <c r="H17" s="7" t="s">
        <v>48</v>
      </c>
      <c r="I17" s="7" t="s">
        <v>163</v>
      </c>
      <c r="J17" s="7" t="s">
        <v>164</v>
      </c>
    </row>
    <row r="18" customFormat="false" ht="15" hidden="false" customHeight="false" outlineLevel="0" collapsed="false">
      <c r="A18" s="5" t="s">
        <v>213</v>
      </c>
      <c r="B18" s="5" t="s">
        <v>34</v>
      </c>
      <c r="C18" s="5" t="s">
        <v>23</v>
      </c>
      <c r="D18" s="5" t="n">
        <v>100</v>
      </c>
      <c r="E18" s="5" t="s">
        <v>47</v>
      </c>
      <c r="F18" s="6" t="n">
        <v>54243</v>
      </c>
      <c r="G18" s="6" t="n">
        <v>45000</v>
      </c>
      <c r="H18" s="5" t="s">
        <v>48</v>
      </c>
      <c r="I18" s="5" t="s">
        <v>163</v>
      </c>
      <c r="J18" s="5"/>
    </row>
    <row r="19" customFormat="false" ht="15" hidden="false" customHeight="false" outlineLevel="0" collapsed="false">
      <c r="A19" s="7" t="s">
        <v>214</v>
      </c>
      <c r="B19" s="7" t="s">
        <v>33</v>
      </c>
      <c r="C19" s="7" t="s">
        <v>25</v>
      </c>
      <c r="D19" s="7" t="n">
        <v>96</v>
      </c>
      <c r="E19" s="7" t="s">
        <v>205</v>
      </c>
      <c r="F19" s="8" t="n">
        <v>111300</v>
      </c>
      <c r="G19" s="8" t="n">
        <v>44444</v>
      </c>
      <c r="H19" s="7" t="s">
        <v>193</v>
      </c>
      <c r="I19" s="7" t="s">
        <v>163</v>
      </c>
      <c r="J19" s="7"/>
    </row>
    <row r="20" customFormat="false" ht="15" hidden="false" customHeight="false" outlineLevel="0" collapsed="false">
      <c r="A20" s="5" t="s">
        <v>215</v>
      </c>
      <c r="B20" s="5" t="s">
        <v>34</v>
      </c>
      <c r="C20" s="5" t="s">
        <v>25</v>
      </c>
      <c r="D20" s="5" t="n">
        <v>100</v>
      </c>
      <c r="E20" s="5" t="s">
        <v>56</v>
      </c>
      <c r="F20" s="6" t="n">
        <v>55027</v>
      </c>
      <c r="G20" s="6" t="n">
        <v>43999</v>
      </c>
      <c r="H20" s="5" t="s">
        <v>193</v>
      </c>
      <c r="I20" s="5" t="s">
        <v>163</v>
      </c>
      <c r="J20" s="5" t="s">
        <v>57</v>
      </c>
    </row>
    <row r="21" customFormat="false" ht="15" hidden="false" customHeight="false" outlineLevel="0" collapsed="false">
      <c r="A21" s="7" t="s">
        <v>216</v>
      </c>
      <c r="B21" s="7" t="s">
        <v>34</v>
      </c>
      <c r="C21" s="7" t="s">
        <v>19</v>
      </c>
      <c r="D21" s="7" t="n">
        <v>100</v>
      </c>
      <c r="E21" s="7" t="s">
        <v>47</v>
      </c>
      <c r="F21" s="8" t="n">
        <v>54677</v>
      </c>
      <c r="G21" s="8" t="n">
        <v>42500</v>
      </c>
      <c r="H21" s="7" t="s">
        <v>48</v>
      </c>
      <c r="I21" s="7" t="s">
        <v>163</v>
      </c>
      <c r="J21" s="7"/>
    </row>
    <row r="22" customFormat="false" ht="15" hidden="false" customHeight="false" outlineLevel="0" collapsed="false">
      <c r="A22" s="5" t="s">
        <v>217</v>
      </c>
      <c r="B22" s="5" t="s">
        <v>34</v>
      </c>
      <c r="C22" s="5" t="s">
        <v>25</v>
      </c>
      <c r="D22" s="5" t="n">
        <v>100</v>
      </c>
      <c r="E22" s="5" t="s">
        <v>47</v>
      </c>
      <c r="F22" s="6" t="n">
        <v>52615</v>
      </c>
      <c r="G22" s="6" t="n">
        <v>42500</v>
      </c>
      <c r="H22" s="5" t="s">
        <v>48</v>
      </c>
      <c r="I22" s="5" t="s">
        <v>163</v>
      </c>
      <c r="J22" s="5"/>
    </row>
    <row r="23" customFormat="false" ht="15" hidden="false" customHeight="false" outlineLevel="0" collapsed="false">
      <c r="A23" s="7" t="s">
        <v>218</v>
      </c>
      <c r="B23" s="7" t="s">
        <v>34</v>
      </c>
      <c r="C23" s="7" t="s">
        <v>18</v>
      </c>
      <c r="D23" s="7" t="n">
        <v>100</v>
      </c>
      <c r="E23" s="7" t="s">
        <v>153</v>
      </c>
      <c r="F23" s="8" t="n">
        <v>88338</v>
      </c>
      <c r="G23" s="8" t="n">
        <v>40587</v>
      </c>
      <c r="H23" s="7" t="s">
        <v>193</v>
      </c>
      <c r="I23" s="7" t="s">
        <v>163</v>
      </c>
      <c r="J23" s="7"/>
    </row>
    <row r="24" customFormat="false" ht="15" hidden="false" customHeight="false" outlineLevel="0" collapsed="false">
      <c r="A24" s="5" t="s">
        <v>219</v>
      </c>
      <c r="B24" s="5" t="s">
        <v>33</v>
      </c>
      <c r="C24" s="5" t="s">
        <v>26</v>
      </c>
      <c r="D24" s="5" t="n">
        <v>99</v>
      </c>
      <c r="E24" s="5" t="s">
        <v>82</v>
      </c>
      <c r="F24" s="6" t="n">
        <v>47353</v>
      </c>
      <c r="G24" s="6" t="n">
        <v>37373</v>
      </c>
      <c r="H24" s="5" t="s">
        <v>48</v>
      </c>
      <c r="I24" s="5" t="s">
        <v>163</v>
      </c>
      <c r="J24" s="5" t="s">
        <v>57</v>
      </c>
    </row>
    <row r="25" customFormat="false" ht="15" hidden="false" customHeight="false" outlineLevel="0" collapsed="false">
      <c r="A25" s="7" t="s">
        <v>220</v>
      </c>
      <c r="B25" s="7" t="s">
        <v>34</v>
      </c>
      <c r="C25" s="7" t="s">
        <v>20</v>
      </c>
      <c r="D25" s="7" t="n">
        <v>101</v>
      </c>
      <c r="E25" s="7" t="s">
        <v>51</v>
      </c>
      <c r="F25" s="8" t="n">
        <v>80856</v>
      </c>
      <c r="G25" s="8" t="n">
        <v>36000</v>
      </c>
      <c r="H25" s="7" t="s">
        <v>193</v>
      </c>
      <c r="I25" s="7" t="s">
        <v>163</v>
      </c>
      <c r="J25" s="7"/>
    </row>
    <row r="26" customFormat="false" ht="15" hidden="false" customHeight="false" outlineLevel="0" collapsed="false">
      <c r="A26" s="5" t="s">
        <v>221</v>
      </c>
      <c r="B26" s="5" t="s">
        <v>32</v>
      </c>
      <c r="C26" s="5" t="s">
        <v>25</v>
      </c>
      <c r="D26" s="5" t="n">
        <v>88</v>
      </c>
      <c r="E26" s="5" t="s">
        <v>207</v>
      </c>
      <c r="F26" s="6" t="n">
        <v>54792</v>
      </c>
      <c r="G26" s="6" t="n">
        <v>35001</v>
      </c>
      <c r="H26" s="5" t="s">
        <v>48</v>
      </c>
      <c r="I26" s="5" t="s">
        <v>163</v>
      </c>
      <c r="J26" s="5"/>
    </row>
    <row r="27" customFormat="false" ht="15" hidden="false" customHeight="false" outlineLevel="0" collapsed="false">
      <c r="A27" s="7" t="s">
        <v>222</v>
      </c>
      <c r="B27" s="7" t="s">
        <v>34</v>
      </c>
      <c r="C27" s="7" t="s">
        <v>25</v>
      </c>
      <c r="D27" s="7" t="n">
        <v>100</v>
      </c>
      <c r="E27" s="7" t="s">
        <v>66</v>
      </c>
      <c r="F27" s="8" t="n">
        <v>44675</v>
      </c>
      <c r="G27" s="8" t="n">
        <v>35000</v>
      </c>
      <c r="H27" s="7" t="s">
        <v>193</v>
      </c>
      <c r="I27" s="7" t="s">
        <v>163</v>
      </c>
      <c r="J27" s="7"/>
    </row>
    <row r="28" customFormat="false" ht="15" hidden="false" customHeight="false" outlineLevel="0" collapsed="false">
      <c r="A28" s="5" t="s">
        <v>223</v>
      </c>
      <c r="B28" s="5" t="s">
        <v>34</v>
      </c>
      <c r="C28" s="5" t="s">
        <v>18</v>
      </c>
      <c r="D28" s="5" t="n">
        <v>100</v>
      </c>
      <c r="E28" s="5" t="s">
        <v>86</v>
      </c>
      <c r="F28" s="6" t="n">
        <v>62030</v>
      </c>
      <c r="G28" s="6" t="n">
        <v>35000</v>
      </c>
      <c r="H28" s="5" t="s">
        <v>48</v>
      </c>
      <c r="I28" s="5" t="s">
        <v>163</v>
      </c>
      <c r="J28" s="5" t="s">
        <v>57</v>
      </c>
    </row>
    <row r="29" customFormat="false" ht="15" hidden="false" customHeight="false" outlineLevel="0" collapsed="false">
      <c r="A29" s="7" t="s">
        <v>224</v>
      </c>
      <c r="B29" s="7" t="s">
        <v>34</v>
      </c>
      <c r="C29" s="7" t="s">
        <v>25</v>
      </c>
      <c r="D29" s="7" t="n">
        <v>100</v>
      </c>
      <c r="E29" s="7" t="s">
        <v>47</v>
      </c>
      <c r="F29" s="8" t="n">
        <v>37909</v>
      </c>
      <c r="G29" s="8" t="n">
        <v>33333</v>
      </c>
      <c r="H29" s="7" t="s">
        <v>48</v>
      </c>
      <c r="I29" s="7" t="s">
        <v>163</v>
      </c>
      <c r="J29" s="7"/>
    </row>
    <row r="30" customFormat="false" ht="15" hidden="false" customHeight="false" outlineLevel="0" collapsed="false">
      <c r="A30" s="5" t="s">
        <v>225</v>
      </c>
      <c r="B30" s="5" t="s">
        <v>34</v>
      </c>
      <c r="C30" s="5" t="s">
        <v>27</v>
      </c>
      <c r="D30" s="5" t="n">
        <v>100</v>
      </c>
      <c r="E30" s="5" t="s">
        <v>47</v>
      </c>
      <c r="F30" s="6" t="n">
        <v>59103</v>
      </c>
      <c r="G30" s="6" t="n">
        <v>33333</v>
      </c>
      <c r="H30" s="5" t="s">
        <v>48</v>
      </c>
      <c r="I30" s="5" t="s">
        <v>163</v>
      </c>
      <c r="J30" s="5"/>
    </row>
    <row r="31" customFormat="false" ht="15" hidden="false" customHeight="false" outlineLevel="0" collapsed="false">
      <c r="A31" s="7" t="s">
        <v>226</v>
      </c>
      <c r="B31" s="7" t="s">
        <v>34</v>
      </c>
      <c r="C31" s="7" t="s">
        <v>23</v>
      </c>
      <c r="D31" s="7" t="n">
        <v>101</v>
      </c>
      <c r="E31" s="7" t="s">
        <v>203</v>
      </c>
      <c r="F31" s="8" t="n">
        <v>102663</v>
      </c>
      <c r="G31" s="8" t="n">
        <v>31000</v>
      </c>
      <c r="H31" s="7" t="s">
        <v>193</v>
      </c>
      <c r="I31" s="7" t="s">
        <v>163</v>
      </c>
      <c r="J31" s="7"/>
    </row>
    <row r="32" customFormat="false" ht="15" hidden="false" customHeight="false" outlineLevel="0" collapsed="false">
      <c r="A32" s="5" t="s">
        <v>227</v>
      </c>
      <c r="B32" s="5" t="s">
        <v>34</v>
      </c>
      <c r="C32" s="5" t="s">
        <v>25</v>
      </c>
      <c r="D32" s="5" t="n">
        <v>100</v>
      </c>
      <c r="E32" s="5" t="s">
        <v>47</v>
      </c>
      <c r="F32" s="6" t="n">
        <v>91099</v>
      </c>
      <c r="G32" s="6" t="n">
        <v>31000</v>
      </c>
      <c r="H32" s="5" t="s">
        <v>48</v>
      </c>
      <c r="I32" s="5" t="s">
        <v>163</v>
      </c>
      <c r="J32" s="5" t="s">
        <v>109</v>
      </c>
    </row>
    <row r="33" customFormat="false" ht="15" hidden="false" customHeight="false" outlineLevel="0" collapsed="false">
      <c r="A33" s="7" t="s">
        <v>228</v>
      </c>
      <c r="B33" s="7" t="s">
        <v>32</v>
      </c>
      <c r="C33" s="7" t="s">
        <v>20</v>
      </c>
      <c r="D33" s="7" t="n">
        <v>83</v>
      </c>
      <c r="E33" s="7" t="s">
        <v>70</v>
      </c>
      <c r="F33" s="8" t="n">
        <v>36614</v>
      </c>
      <c r="G33" s="8" t="n">
        <v>30001</v>
      </c>
      <c r="H33" s="7" t="s">
        <v>48</v>
      </c>
      <c r="I33" s="7" t="s">
        <v>163</v>
      </c>
      <c r="J33" s="7" t="s">
        <v>57</v>
      </c>
    </row>
    <row r="34" customFormat="false" ht="15" hidden="false" customHeight="false" outlineLevel="0" collapsed="false">
      <c r="A34" s="5" t="s">
        <v>83</v>
      </c>
      <c r="B34" s="5" t="s">
        <v>34</v>
      </c>
      <c r="C34" s="5" t="s">
        <v>18</v>
      </c>
      <c r="D34" s="5" t="n">
        <v>100</v>
      </c>
      <c r="E34" s="5" t="s">
        <v>97</v>
      </c>
      <c r="F34" s="6" t="n">
        <v>41277</v>
      </c>
      <c r="G34" s="6" t="n">
        <v>29100</v>
      </c>
      <c r="H34" s="5" t="s">
        <v>48</v>
      </c>
      <c r="I34" s="5" t="s">
        <v>163</v>
      </c>
      <c r="J34" s="5"/>
    </row>
    <row r="35" customFormat="false" ht="15" hidden="false" customHeight="false" outlineLevel="0" collapsed="false">
      <c r="A35" s="7" t="s">
        <v>229</v>
      </c>
      <c r="B35" s="7" t="s">
        <v>34</v>
      </c>
      <c r="C35" s="7" t="s">
        <v>22</v>
      </c>
      <c r="D35" s="7" t="n">
        <v>100</v>
      </c>
      <c r="E35" s="7" t="s">
        <v>203</v>
      </c>
      <c r="F35" s="8" t="n">
        <v>28229</v>
      </c>
      <c r="G35" s="8" t="n">
        <v>28668</v>
      </c>
      <c r="H35" s="7" t="s">
        <v>193</v>
      </c>
      <c r="I35" s="7" t="s">
        <v>163</v>
      </c>
      <c r="J35" s="7"/>
    </row>
    <row r="36" customFormat="false" ht="15" hidden="false" customHeight="false" outlineLevel="0" collapsed="false">
      <c r="A36" s="5" t="s">
        <v>230</v>
      </c>
      <c r="B36" s="5" t="s">
        <v>34</v>
      </c>
      <c r="C36" s="5" t="s">
        <v>23</v>
      </c>
      <c r="D36" s="5" t="n">
        <v>100</v>
      </c>
      <c r="E36" s="5" t="s">
        <v>133</v>
      </c>
      <c r="F36" s="6" t="n">
        <v>41114</v>
      </c>
      <c r="G36" s="6" t="n">
        <v>27500</v>
      </c>
      <c r="H36" s="5" t="s">
        <v>193</v>
      </c>
      <c r="I36" s="5" t="s">
        <v>163</v>
      </c>
      <c r="J36" s="5"/>
    </row>
    <row r="37" customFormat="false" ht="15" hidden="false" customHeight="false" outlineLevel="0" collapsed="false">
      <c r="A37" s="7" t="s">
        <v>231</v>
      </c>
      <c r="B37" s="7" t="s">
        <v>34</v>
      </c>
      <c r="C37" s="7" t="s">
        <v>25</v>
      </c>
      <c r="D37" s="7" t="n">
        <v>100</v>
      </c>
      <c r="E37" s="7" t="s">
        <v>97</v>
      </c>
      <c r="F37" s="8" t="n">
        <v>44442</v>
      </c>
      <c r="G37" s="8" t="n">
        <v>27000</v>
      </c>
      <c r="H37" s="7" t="s">
        <v>48</v>
      </c>
      <c r="I37" s="7" t="s">
        <v>163</v>
      </c>
      <c r="J37" s="7" t="s">
        <v>57</v>
      </c>
    </row>
    <row r="38" customFormat="false" ht="15" hidden="false" customHeight="false" outlineLevel="0" collapsed="false">
      <c r="A38" s="5" t="s">
        <v>232</v>
      </c>
      <c r="B38" s="5" t="s">
        <v>34</v>
      </c>
      <c r="C38" s="5" t="s">
        <v>25</v>
      </c>
      <c r="D38" s="5" t="n">
        <v>100</v>
      </c>
      <c r="E38" s="5" t="s">
        <v>97</v>
      </c>
      <c r="F38" s="6" t="n">
        <v>37648</v>
      </c>
      <c r="G38" s="6" t="n">
        <v>25500</v>
      </c>
      <c r="H38" s="5" t="s">
        <v>193</v>
      </c>
      <c r="I38" s="5" t="s">
        <v>163</v>
      </c>
      <c r="J38" s="5" t="s">
        <v>57</v>
      </c>
    </row>
    <row r="39" customFormat="false" ht="15" hidden="false" customHeight="false" outlineLevel="0" collapsed="false">
      <c r="A39" s="7" t="s">
        <v>233</v>
      </c>
      <c r="B39" s="7" t="s">
        <v>34</v>
      </c>
      <c r="C39" s="7" t="s">
        <v>25</v>
      </c>
      <c r="D39" s="7" t="n">
        <v>100</v>
      </c>
      <c r="E39" s="7" t="s">
        <v>234</v>
      </c>
      <c r="F39" s="8" t="n">
        <v>112576</v>
      </c>
      <c r="G39" s="8" t="n">
        <v>25001</v>
      </c>
      <c r="H39" s="7" t="s">
        <v>48</v>
      </c>
      <c r="I39" s="7" t="s">
        <v>163</v>
      </c>
      <c r="J39" s="7"/>
    </row>
    <row r="40" customFormat="false" ht="15" hidden="false" customHeight="false" outlineLevel="0" collapsed="false">
      <c r="A40" s="5" t="s">
        <v>235</v>
      </c>
      <c r="B40" s="5" t="s">
        <v>30</v>
      </c>
      <c r="C40" s="5" t="s">
        <v>17</v>
      </c>
      <c r="D40" s="5" t="n">
        <v>63</v>
      </c>
      <c r="E40" s="5" t="s">
        <v>236</v>
      </c>
      <c r="F40" s="6" t="n">
        <v>31820</v>
      </c>
      <c r="G40" s="6" t="n">
        <v>25000</v>
      </c>
      <c r="H40" s="5" t="s">
        <v>48</v>
      </c>
      <c r="I40" s="5" t="s">
        <v>163</v>
      </c>
      <c r="J40" s="5"/>
    </row>
    <row r="41" customFormat="false" ht="15" hidden="false" customHeight="false" outlineLevel="0" collapsed="false">
      <c r="A41" s="7" t="s">
        <v>237</v>
      </c>
      <c r="B41" s="7" t="s">
        <v>34</v>
      </c>
      <c r="C41" s="7" t="s">
        <v>25</v>
      </c>
      <c r="D41" s="7" t="n">
        <v>100</v>
      </c>
      <c r="E41" s="7" t="s">
        <v>86</v>
      </c>
      <c r="F41" s="8" t="n">
        <v>75559</v>
      </c>
      <c r="G41" s="8" t="n">
        <v>24510</v>
      </c>
      <c r="H41" s="7" t="s">
        <v>193</v>
      </c>
      <c r="I41" s="7" t="s">
        <v>163</v>
      </c>
      <c r="J41" s="7" t="s">
        <v>57</v>
      </c>
    </row>
    <row r="42" customFormat="false" ht="15" hidden="false" customHeight="false" outlineLevel="0" collapsed="false">
      <c r="A42" s="5" t="s">
        <v>186</v>
      </c>
      <c r="B42" s="5" t="s">
        <v>32</v>
      </c>
      <c r="C42" s="5" t="s">
        <v>25</v>
      </c>
      <c r="D42" s="5" t="n">
        <v>86</v>
      </c>
      <c r="E42" s="5" t="s">
        <v>173</v>
      </c>
      <c r="F42" s="6" t="n">
        <v>48557</v>
      </c>
      <c r="G42" s="6" t="n">
        <v>23999</v>
      </c>
      <c r="H42" s="5" t="s">
        <v>48</v>
      </c>
      <c r="I42" s="5" t="s">
        <v>163</v>
      </c>
      <c r="J42" s="5" t="s">
        <v>164</v>
      </c>
    </row>
    <row r="43" customFormat="false" ht="15" hidden="false" customHeight="false" outlineLevel="0" collapsed="false">
      <c r="A43" s="7" t="s">
        <v>238</v>
      </c>
      <c r="B43" s="7" t="s">
        <v>34</v>
      </c>
      <c r="C43" s="7" t="s">
        <v>21</v>
      </c>
      <c r="D43" s="7" t="n">
        <v>100</v>
      </c>
      <c r="E43" s="7" t="s">
        <v>203</v>
      </c>
      <c r="F43" s="8" t="n">
        <v>41616</v>
      </c>
      <c r="G43" s="8" t="n">
        <v>23000</v>
      </c>
      <c r="H43" s="7" t="s">
        <v>193</v>
      </c>
      <c r="I43" s="7" t="s">
        <v>163</v>
      </c>
      <c r="J43" s="7"/>
    </row>
    <row r="44" customFormat="false" ht="15" hidden="false" customHeight="false" outlineLevel="0" collapsed="false">
      <c r="A44" s="5" t="s">
        <v>239</v>
      </c>
      <c r="B44" s="5" t="s">
        <v>34</v>
      </c>
      <c r="C44" s="5" t="s">
        <v>25</v>
      </c>
      <c r="D44" s="5" t="n">
        <v>100</v>
      </c>
      <c r="E44" s="5" t="s">
        <v>47</v>
      </c>
      <c r="F44" s="6" t="n">
        <v>77784</v>
      </c>
      <c r="G44" s="6" t="n">
        <v>23000</v>
      </c>
      <c r="H44" s="5" t="s">
        <v>48</v>
      </c>
      <c r="I44" s="5" t="s">
        <v>163</v>
      </c>
      <c r="J44" s="5"/>
    </row>
    <row r="45" customFormat="false" ht="15" hidden="false" customHeight="false" outlineLevel="0" collapsed="false">
      <c r="A45" s="7" t="s">
        <v>190</v>
      </c>
      <c r="B45" s="7" t="s">
        <v>33</v>
      </c>
      <c r="C45" s="7" t="s">
        <v>21</v>
      </c>
      <c r="D45" s="7" t="n">
        <v>93</v>
      </c>
      <c r="E45" s="7" t="s">
        <v>179</v>
      </c>
      <c r="F45" s="8" t="n">
        <v>41693</v>
      </c>
      <c r="G45" s="8" t="n">
        <v>21250</v>
      </c>
      <c r="H45" s="7" t="s">
        <v>48</v>
      </c>
      <c r="I45" s="7" t="s">
        <v>163</v>
      </c>
      <c r="J45" s="7" t="s">
        <v>164</v>
      </c>
    </row>
    <row r="46" customFormat="false" ht="15" hidden="false" customHeight="false" outlineLevel="0" collapsed="false">
      <c r="A46" s="5" t="s">
        <v>240</v>
      </c>
      <c r="B46" s="5" t="s">
        <v>34</v>
      </c>
      <c r="C46" s="5" t="s">
        <v>20</v>
      </c>
      <c r="D46" s="5" t="n">
        <v>100</v>
      </c>
      <c r="E46" s="5" t="s">
        <v>47</v>
      </c>
      <c r="F46" s="6" t="n">
        <v>29434</v>
      </c>
      <c r="G46" s="6" t="n">
        <v>20005</v>
      </c>
      <c r="H46" s="5" t="s">
        <v>48</v>
      </c>
      <c r="I46" s="5" t="s">
        <v>163</v>
      </c>
      <c r="J46" s="5"/>
    </row>
    <row r="47" customFormat="false" ht="15" hidden="false" customHeight="false" outlineLevel="0" collapsed="false">
      <c r="A47" s="7" t="s">
        <v>241</v>
      </c>
      <c r="B47" s="7" t="s">
        <v>34</v>
      </c>
      <c r="C47" s="7" t="s">
        <v>25</v>
      </c>
      <c r="D47" s="7" t="n">
        <v>100</v>
      </c>
      <c r="E47" s="7" t="s">
        <v>203</v>
      </c>
      <c r="F47" s="8" t="n">
        <v>49117</v>
      </c>
      <c r="G47" s="8" t="n">
        <v>20001</v>
      </c>
      <c r="H47" s="7" t="s">
        <v>193</v>
      </c>
      <c r="I47" s="7" t="s">
        <v>163</v>
      </c>
      <c r="J47" s="7"/>
    </row>
    <row r="48" customFormat="false" ht="15" hidden="false" customHeight="false" outlineLevel="0" collapsed="false">
      <c r="A48" s="5" t="s">
        <v>242</v>
      </c>
      <c r="B48" s="5" t="s">
        <v>32</v>
      </c>
      <c r="C48" s="5" t="s">
        <v>25</v>
      </c>
      <c r="D48" s="5" t="n">
        <v>87</v>
      </c>
      <c r="E48" s="5" t="s">
        <v>243</v>
      </c>
      <c r="F48" s="6" t="n">
        <v>40910</v>
      </c>
      <c r="G48" s="6" t="n">
        <v>20000</v>
      </c>
      <c r="H48" s="5" t="s">
        <v>48</v>
      </c>
      <c r="I48" s="5" t="s">
        <v>163</v>
      </c>
      <c r="J48" s="5" t="s">
        <v>57</v>
      </c>
    </row>
    <row r="49" customFormat="false" ht="15" hidden="false" customHeight="false" outlineLevel="0" collapsed="false">
      <c r="A49" s="7" t="s">
        <v>244</v>
      </c>
      <c r="B49" s="7" t="s">
        <v>33</v>
      </c>
      <c r="C49" s="7" t="s">
        <v>25</v>
      </c>
      <c r="D49" s="7" t="n">
        <v>99</v>
      </c>
      <c r="E49" s="7" t="s">
        <v>245</v>
      </c>
      <c r="F49" s="8" t="n">
        <v>58135</v>
      </c>
      <c r="G49" s="8" t="n">
        <v>20000</v>
      </c>
      <c r="H49" s="7" t="s">
        <v>48</v>
      </c>
      <c r="I49" s="7" t="s">
        <v>163</v>
      </c>
      <c r="J49" s="7"/>
    </row>
    <row r="50" customFormat="false" ht="15" hidden="false" customHeight="false" outlineLevel="0" collapsed="false">
      <c r="A50" s="5" t="s">
        <v>189</v>
      </c>
      <c r="B50" s="5" t="s">
        <v>33</v>
      </c>
      <c r="C50" s="5" t="s">
        <v>18</v>
      </c>
      <c r="D50" s="5" t="n">
        <v>90</v>
      </c>
      <c r="E50" s="5" t="s">
        <v>179</v>
      </c>
      <c r="F50" s="6" t="n">
        <v>73397</v>
      </c>
      <c r="G50" s="6" t="n">
        <v>19647</v>
      </c>
      <c r="H50" s="5" t="s">
        <v>48</v>
      </c>
      <c r="I50" s="5" t="s">
        <v>163</v>
      </c>
      <c r="J50" s="5" t="s">
        <v>164</v>
      </c>
    </row>
    <row r="51" customFormat="false" ht="15" hidden="false" customHeight="false" outlineLevel="0" collapsed="false">
      <c r="A51" s="7" t="s">
        <v>246</v>
      </c>
      <c r="B51" s="7" t="s">
        <v>33</v>
      </c>
      <c r="C51" s="7" t="s">
        <v>19</v>
      </c>
      <c r="D51" s="7" t="n">
        <v>99</v>
      </c>
      <c r="E51" s="7" t="s">
        <v>203</v>
      </c>
      <c r="F51" s="8" t="n">
        <v>16387</v>
      </c>
      <c r="G51" s="8" t="n">
        <v>15000</v>
      </c>
      <c r="H51" s="7" t="s">
        <v>48</v>
      </c>
      <c r="I51" s="7" t="s">
        <v>163</v>
      </c>
      <c r="J51" s="7"/>
    </row>
    <row r="52" customFormat="false" ht="15" hidden="false" customHeight="false" outlineLevel="0" collapsed="false">
      <c r="A52" s="5" t="s">
        <v>247</v>
      </c>
      <c r="B52" s="5" t="s">
        <v>30</v>
      </c>
      <c r="C52" s="5" t="s">
        <v>21</v>
      </c>
      <c r="D52" s="5" t="n">
        <v>60</v>
      </c>
      <c r="E52" s="5" t="s">
        <v>236</v>
      </c>
      <c r="F52" s="6" t="n">
        <v>15412</v>
      </c>
      <c r="G52" s="6" t="n">
        <v>15000</v>
      </c>
      <c r="H52" s="5" t="s">
        <v>48</v>
      </c>
      <c r="I52" s="5" t="s">
        <v>163</v>
      </c>
      <c r="J52" s="5"/>
    </row>
    <row r="53" customFormat="false" ht="15" hidden="false" customHeight="false" outlineLevel="0" collapsed="false">
      <c r="A53" s="7" t="s">
        <v>248</v>
      </c>
      <c r="B53" s="7" t="s">
        <v>33</v>
      </c>
      <c r="C53" s="7" t="s">
        <v>26</v>
      </c>
      <c r="D53" s="7" t="n">
        <v>99</v>
      </c>
      <c r="E53" s="7" t="s">
        <v>249</v>
      </c>
      <c r="F53" s="8" t="n">
        <v>19242</v>
      </c>
      <c r="G53" s="8" t="n">
        <v>12750</v>
      </c>
      <c r="H53" s="7" t="s">
        <v>48</v>
      </c>
      <c r="I53" s="7" t="s">
        <v>163</v>
      </c>
      <c r="J53" s="7"/>
    </row>
    <row r="54" customFormat="false" ht="15" hidden="false" customHeight="false" outlineLevel="0" collapsed="false">
      <c r="A54" s="5" t="s">
        <v>250</v>
      </c>
      <c r="B54" s="5" t="s">
        <v>34</v>
      </c>
      <c r="C54" s="5" t="s">
        <v>25</v>
      </c>
      <c r="D54" s="5" t="n">
        <v>100</v>
      </c>
      <c r="E54" s="5" t="s">
        <v>47</v>
      </c>
      <c r="F54" s="6" t="n">
        <v>25246</v>
      </c>
      <c r="G54" s="6" t="n">
        <v>12600</v>
      </c>
      <c r="H54" s="5" t="s">
        <v>48</v>
      </c>
      <c r="I54" s="5" t="s">
        <v>163</v>
      </c>
      <c r="J54" s="5"/>
    </row>
    <row r="55" customFormat="false" ht="15" hidden="false" customHeight="false" outlineLevel="0" collapsed="false">
      <c r="A55" s="7" t="s">
        <v>251</v>
      </c>
      <c r="B55" s="7" t="s">
        <v>33</v>
      </c>
      <c r="C55" s="7" t="s">
        <v>25</v>
      </c>
      <c r="D55" s="7" t="n">
        <v>95</v>
      </c>
      <c r="E55" s="7" t="s">
        <v>179</v>
      </c>
      <c r="F55" s="8" t="n">
        <v>41821</v>
      </c>
      <c r="G55" s="8" t="n">
        <v>12500</v>
      </c>
      <c r="H55" s="7" t="s">
        <v>48</v>
      </c>
      <c r="I55" s="7" t="s">
        <v>163</v>
      </c>
      <c r="J55" s="7" t="s">
        <v>57</v>
      </c>
    </row>
    <row r="56" customFormat="false" ht="15" hidden="false" customHeight="false" outlineLevel="0" collapsed="false">
      <c r="A56" s="5" t="s">
        <v>252</v>
      </c>
      <c r="B56" s="5" t="s">
        <v>31</v>
      </c>
      <c r="C56" s="5" t="s">
        <v>27</v>
      </c>
      <c r="D56" s="5" t="n">
        <v>77</v>
      </c>
      <c r="E56" s="5" t="s">
        <v>253</v>
      </c>
      <c r="F56" s="6" t="n">
        <v>20376</v>
      </c>
      <c r="G56" s="6" t="n">
        <v>12500</v>
      </c>
      <c r="H56" s="5" t="s">
        <v>48</v>
      </c>
      <c r="I56" s="5" t="s">
        <v>163</v>
      </c>
      <c r="J56" s="5"/>
    </row>
    <row r="57" customFormat="false" ht="15" hidden="false" customHeight="false" outlineLevel="0" collapsed="false">
      <c r="A57" s="7" t="s">
        <v>254</v>
      </c>
      <c r="B57" s="7" t="s">
        <v>33</v>
      </c>
      <c r="C57" s="7" t="s">
        <v>26</v>
      </c>
      <c r="D57" s="7" t="n">
        <v>98</v>
      </c>
      <c r="E57" s="7" t="s">
        <v>74</v>
      </c>
      <c r="F57" s="8" t="n">
        <v>11936</v>
      </c>
      <c r="G57" s="8" t="n">
        <v>12000</v>
      </c>
      <c r="H57" s="7" t="s">
        <v>48</v>
      </c>
      <c r="I57" s="7" t="s">
        <v>163</v>
      </c>
      <c r="J57" s="7" t="s">
        <v>57</v>
      </c>
    </row>
    <row r="58" customFormat="false" ht="15" hidden="false" customHeight="false" outlineLevel="0" collapsed="false">
      <c r="A58" s="5" t="s">
        <v>255</v>
      </c>
      <c r="B58" s="5" t="s">
        <v>31</v>
      </c>
      <c r="C58" s="5" t="s">
        <v>20</v>
      </c>
      <c r="D58" s="5" t="n">
        <v>71</v>
      </c>
      <c r="E58" s="5" t="s">
        <v>245</v>
      </c>
      <c r="F58" s="6" t="n">
        <v>20987</v>
      </c>
      <c r="G58" s="6" t="n">
        <v>11675</v>
      </c>
      <c r="H58" s="5" t="s">
        <v>48</v>
      </c>
      <c r="I58" s="5" t="s">
        <v>163</v>
      </c>
      <c r="J58" s="5"/>
    </row>
    <row r="59" customFormat="false" ht="15" hidden="false" customHeight="false" outlineLevel="0" collapsed="false">
      <c r="A59" s="7" t="s">
        <v>218</v>
      </c>
      <c r="B59" s="7" t="s">
        <v>33</v>
      </c>
      <c r="C59" s="7" t="s">
        <v>20</v>
      </c>
      <c r="D59" s="7" t="n">
        <v>93</v>
      </c>
      <c r="E59" s="7" t="s">
        <v>199</v>
      </c>
      <c r="F59" s="8" t="n">
        <v>27196</v>
      </c>
      <c r="G59" s="8" t="n">
        <v>11111</v>
      </c>
      <c r="H59" s="7" t="s">
        <v>48</v>
      </c>
      <c r="I59" s="7" t="s">
        <v>163</v>
      </c>
      <c r="J59" s="7"/>
    </row>
    <row r="60" customFormat="false" ht="15" hidden="false" customHeight="false" outlineLevel="0" collapsed="false">
      <c r="A60" s="5" t="s">
        <v>176</v>
      </c>
      <c r="B60" s="5" t="s">
        <v>30</v>
      </c>
      <c r="C60" s="5" t="s">
        <v>27</v>
      </c>
      <c r="D60" s="5" t="n">
        <v>65</v>
      </c>
      <c r="E60" s="5" t="s">
        <v>74</v>
      </c>
      <c r="F60" s="6" t="n">
        <v>38218</v>
      </c>
      <c r="G60" s="6" t="n">
        <v>11111</v>
      </c>
      <c r="H60" s="5" t="s">
        <v>48</v>
      </c>
      <c r="I60" s="5" t="s">
        <v>163</v>
      </c>
      <c r="J60" s="5" t="s">
        <v>164</v>
      </c>
    </row>
    <row r="61" customFormat="false" ht="15" hidden="false" customHeight="false" outlineLevel="0" collapsed="false">
      <c r="A61" s="7" t="s">
        <v>180</v>
      </c>
      <c r="B61" s="7" t="s">
        <v>31</v>
      </c>
      <c r="C61" s="7" t="s">
        <v>22</v>
      </c>
      <c r="D61" s="7" t="n">
        <v>70</v>
      </c>
      <c r="E61" s="7" t="s">
        <v>181</v>
      </c>
      <c r="F61" s="8" t="n">
        <v>40218</v>
      </c>
      <c r="G61" s="8" t="n">
        <v>11111</v>
      </c>
      <c r="H61" s="7" t="s">
        <v>48</v>
      </c>
      <c r="I61" s="7" t="s">
        <v>163</v>
      </c>
      <c r="J61" s="7" t="s">
        <v>164</v>
      </c>
    </row>
    <row r="62" customFormat="false" ht="15" hidden="false" customHeight="false" outlineLevel="0" collapsed="false">
      <c r="A62" s="5" t="s">
        <v>185</v>
      </c>
      <c r="B62" s="5" t="s">
        <v>32</v>
      </c>
      <c r="C62" s="5" t="s">
        <v>23</v>
      </c>
      <c r="D62" s="5" t="n">
        <v>87</v>
      </c>
      <c r="E62" s="5" t="s">
        <v>179</v>
      </c>
      <c r="F62" s="6" t="n">
        <v>42750</v>
      </c>
      <c r="G62" s="6" t="n">
        <v>11111</v>
      </c>
      <c r="H62" s="5" t="s">
        <v>48</v>
      </c>
      <c r="I62" s="5" t="s">
        <v>163</v>
      </c>
      <c r="J62" s="5" t="s">
        <v>164</v>
      </c>
    </row>
    <row r="63" customFormat="false" ht="15" hidden="false" customHeight="false" outlineLevel="0" collapsed="false">
      <c r="A63" s="7" t="s">
        <v>256</v>
      </c>
      <c r="B63" s="7" t="s">
        <v>33</v>
      </c>
      <c r="C63" s="7" t="s">
        <v>23</v>
      </c>
      <c r="D63" s="7" t="n">
        <v>97</v>
      </c>
      <c r="E63" s="7" t="s">
        <v>203</v>
      </c>
      <c r="F63" s="8" t="n">
        <v>17440</v>
      </c>
      <c r="G63" s="8" t="n">
        <v>10700</v>
      </c>
      <c r="H63" s="7" t="s">
        <v>48</v>
      </c>
      <c r="I63" s="7" t="s">
        <v>163</v>
      </c>
      <c r="J63" s="7"/>
    </row>
    <row r="64" customFormat="false" ht="15" hidden="false" customHeight="false" outlineLevel="0" collapsed="false">
      <c r="A64" s="5" t="s">
        <v>187</v>
      </c>
      <c r="B64" s="5" t="s">
        <v>32</v>
      </c>
      <c r="C64" s="5" t="s">
        <v>26</v>
      </c>
      <c r="D64" s="5" t="n">
        <v>89</v>
      </c>
      <c r="E64" s="5" t="s">
        <v>74</v>
      </c>
      <c r="F64" s="6" t="n">
        <v>40562</v>
      </c>
      <c r="G64" s="6" t="n">
        <v>10001</v>
      </c>
      <c r="H64" s="5" t="s">
        <v>48</v>
      </c>
      <c r="I64" s="5" t="s">
        <v>163</v>
      </c>
      <c r="J64" s="5" t="s">
        <v>164</v>
      </c>
    </row>
    <row r="65" customFormat="false" ht="15" hidden="false" customHeight="false" outlineLevel="0" collapsed="false">
      <c r="A65" s="7" t="s">
        <v>178</v>
      </c>
      <c r="B65" s="7" t="s">
        <v>31</v>
      </c>
      <c r="C65" s="7" t="s">
        <v>19</v>
      </c>
      <c r="D65" s="7" t="n">
        <v>77</v>
      </c>
      <c r="E65" s="7" t="s">
        <v>179</v>
      </c>
      <c r="F65" s="8" t="n">
        <v>70965</v>
      </c>
      <c r="G65" s="8" t="n">
        <v>10000</v>
      </c>
      <c r="H65" s="7" t="s">
        <v>48</v>
      </c>
      <c r="I65" s="7" t="s">
        <v>163</v>
      </c>
      <c r="J65" s="7" t="s">
        <v>164</v>
      </c>
    </row>
    <row r="66" customFormat="false" ht="15" hidden="false" customHeight="false" outlineLevel="0" collapsed="false">
      <c r="A66" s="5" t="s">
        <v>257</v>
      </c>
      <c r="B66" s="5" t="s">
        <v>33</v>
      </c>
      <c r="C66" s="5" t="s">
        <v>27</v>
      </c>
      <c r="D66" s="5" t="n">
        <v>98</v>
      </c>
      <c r="E66" s="5" t="s">
        <v>258</v>
      </c>
      <c r="F66" s="6" t="n">
        <v>11423</v>
      </c>
      <c r="G66" s="6" t="n">
        <v>9199</v>
      </c>
      <c r="H66" s="5" t="s">
        <v>48</v>
      </c>
      <c r="I66" s="5" t="s">
        <v>163</v>
      </c>
      <c r="J66" s="5"/>
    </row>
    <row r="67" customFormat="false" ht="15" hidden="false" customHeight="false" outlineLevel="0" collapsed="false">
      <c r="A67" s="7" t="s">
        <v>259</v>
      </c>
      <c r="B67" s="7" t="s">
        <v>33</v>
      </c>
      <c r="C67" s="7" t="s">
        <v>21</v>
      </c>
      <c r="D67" s="7" t="n">
        <v>92</v>
      </c>
      <c r="E67" s="7" t="s">
        <v>82</v>
      </c>
      <c r="F67" s="8" t="n">
        <v>10775</v>
      </c>
      <c r="G67" s="8" t="n">
        <v>9102</v>
      </c>
      <c r="H67" s="7" t="s">
        <v>48</v>
      </c>
      <c r="I67" s="7" t="s">
        <v>163</v>
      </c>
      <c r="J67" s="7" t="s">
        <v>57</v>
      </c>
    </row>
    <row r="68" customFormat="false" ht="15" hidden="false" customHeight="false" outlineLevel="0" collapsed="false">
      <c r="A68" s="5" t="s">
        <v>260</v>
      </c>
      <c r="B68" s="5" t="s">
        <v>33</v>
      </c>
      <c r="C68" s="5" t="s">
        <v>25</v>
      </c>
      <c r="D68" s="5" t="n">
        <v>99</v>
      </c>
      <c r="E68" s="5" t="s">
        <v>47</v>
      </c>
      <c r="F68" s="6" t="n">
        <v>10183</v>
      </c>
      <c r="G68" s="6" t="n">
        <v>9100</v>
      </c>
      <c r="H68" s="5" t="s">
        <v>48</v>
      </c>
      <c r="I68" s="5" t="s">
        <v>163</v>
      </c>
      <c r="J68" s="5"/>
    </row>
    <row r="69" customFormat="false" ht="15" hidden="false" customHeight="false" outlineLevel="0" collapsed="false">
      <c r="A69" s="7" t="s">
        <v>261</v>
      </c>
      <c r="B69" s="7" t="s">
        <v>33</v>
      </c>
      <c r="C69" s="7" t="s">
        <v>20</v>
      </c>
      <c r="D69" s="7" t="n">
        <v>98</v>
      </c>
      <c r="E69" s="7" t="s">
        <v>131</v>
      </c>
      <c r="F69" s="8" t="n">
        <v>20388</v>
      </c>
      <c r="G69" s="8" t="n">
        <v>8500</v>
      </c>
      <c r="H69" s="7" t="s">
        <v>48</v>
      </c>
      <c r="I69" s="7" t="s">
        <v>163</v>
      </c>
      <c r="J69" s="7"/>
    </row>
    <row r="70" customFormat="false" ht="15" hidden="false" customHeight="false" outlineLevel="0" collapsed="false">
      <c r="A70" s="5" t="s">
        <v>262</v>
      </c>
      <c r="B70" s="5" t="s">
        <v>33</v>
      </c>
      <c r="C70" s="5" t="s">
        <v>25</v>
      </c>
      <c r="D70" s="5" t="n">
        <v>99</v>
      </c>
      <c r="E70" s="5" t="s">
        <v>47</v>
      </c>
      <c r="F70" s="6" t="n">
        <v>8804</v>
      </c>
      <c r="G70" s="6" t="n">
        <v>8002</v>
      </c>
      <c r="H70" s="5" t="s">
        <v>48</v>
      </c>
      <c r="I70" s="5" t="s">
        <v>163</v>
      </c>
      <c r="J70" s="5"/>
    </row>
    <row r="71" customFormat="false" ht="15" hidden="false" customHeight="false" outlineLevel="0" collapsed="false">
      <c r="A71" s="7" t="s">
        <v>167</v>
      </c>
      <c r="B71" s="7" t="s">
        <v>30</v>
      </c>
      <c r="C71" s="7" t="s">
        <v>19</v>
      </c>
      <c r="D71" s="7" t="n">
        <v>68</v>
      </c>
      <c r="E71" s="7" t="s">
        <v>162</v>
      </c>
      <c r="F71" s="8" t="n">
        <v>40977</v>
      </c>
      <c r="G71" s="8" t="n">
        <v>7890</v>
      </c>
      <c r="H71" s="7" t="s">
        <v>48</v>
      </c>
      <c r="I71" s="7" t="s">
        <v>163</v>
      </c>
      <c r="J71" s="7" t="s">
        <v>164</v>
      </c>
    </row>
    <row r="72" customFormat="false" ht="15" hidden="false" customHeight="false" outlineLevel="0" collapsed="false">
      <c r="A72" s="5" t="s">
        <v>182</v>
      </c>
      <c r="B72" s="5" t="s">
        <v>31</v>
      </c>
      <c r="C72" s="5" t="s">
        <v>23</v>
      </c>
      <c r="D72" s="5" t="n">
        <v>75</v>
      </c>
      <c r="E72" s="5" t="s">
        <v>131</v>
      </c>
      <c r="F72" s="6" t="n">
        <v>30676</v>
      </c>
      <c r="G72" s="6" t="n">
        <v>7777</v>
      </c>
      <c r="H72" s="5" t="s">
        <v>48</v>
      </c>
      <c r="I72" s="5" t="s">
        <v>163</v>
      </c>
      <c r="J72" s="5" t="s">
        <v>164</v>
      </c>
    </row>
    <row r="73" customFormat="false" ht="15" hidden="false" customHeight="false" outlineLevel="0" collapsed="false">
      <c r="A73" s="7" t="s">
        <v>149</v>
      </c>
      <c r="B73" s="7" t="s">
        <v>33</v>
      </c>
      <c r="C73" s="7" t="s">
        <v>20</v>
      </c>
      <c r="D73" s="7" t="n">
        <v>98</v>
      </c>
      <c r="E73" s="7" t="s">
        <v>124</v>
      </c>
      <c r="F73" s="8" t="n">
        <v>7999</v>
      </c>
      <c r="G73" s="8" t="n">
        <v>7750</v>
      </c>
      <c r="H73" s="7" t="s">
        <v>48</v>
      </c>
      <c r="I73" s="7" t="s">
        <v>163</v>
      </c>
      <c r="J73" s="7"/>
    </row>
    <row r="74" customFormat="false" ht="15" hidden="false" customHeight="false" outlineLevel="0" collapsed="false">
      <c r="A74" s="5" t="s">
        <v>263</v>
      </c>
      <c r="B74" s="5" t="s">
        <v>33</v>
      </c>
      <c r="C74" s="5" t="s">
        <v>25</v>
      </c>
      <c r="D74" s="5" t="n">
        <v>97</v>
      </c>
      <c r="E74" s="5" t="s">
        <v>100</v>
      </c>
      <c r="F74" s="6" t="n">
        <v>7946</v>
      </c>
      <c r="G74" s="6" t="n">
        <v>7737</v>
      </c>
      <c r="H74" s="5" t="s">
        <v>48</v>
      </c>
      <c r="I74" s="5" t="s">
        <v>163</v>
      </c>
      <c r="J74" s="5"/>
    </row>
    <row r="75" customFormat="false" ht="15" hidden="false" customHeight="false" outlineLevel="0" collapsed="false">
      <c r="A75" s="7" t="s">
        <v>264</v>
      </c>
      <c r="B75" s="7" t="s">
        <v>33</v>
      </c>
      <c r="C75" s="7" t="s">
        <v>25</v>
      </c>
      <c r="D75" s="7" t="n">
        <v>90</v>
      </c>
      <c r="E75" s="7" t="s">
        <v>100</v>
      </c>
      <c r="F75" s="8" t="n">
        <v>7128</v>
      </c>
      <c r="G75" s="8" t="n">
        <v>7737</v>
      </c>
      <c r="H75" s="7" t="s">
        <v>48</v>
      </c>
      <c r="I75" s="7" t="s">
        <v>163</v>
      </c>
      <c r="J75" s="7"/>
    </row>
    <row r="76" customFormat="false" ht="15" hidden="false" customHeight="false" outlineLevel="0" collapsed="false">
      <c r="A76" s="5" t="s">
        <v>265</v>
      </c>
      <c r="B76" s="5" t="s">
        <v>33</v>
      </c>
      <c r="C76" s="5" t="s">
        <v>26</v>
      </c>
      <c r="D76" s="5" t="n">
        <v>98</v>
      </c>
      <c r="E76" s="5" t="s">
        <v>51</v>
      </c>
      <c r="F76" s="6" t="n">
        <v>8539</v>
      </c>
      <c r="G76" s="6" t="n">
        <v>7737</v>
      </c>
      <c r="H76" s="5" t="s">
        <v>48</v>
      </c>
      <c r="I76" s="5" t="s">
        <v>163</v>
      </c>
      <c r="J76" s="5"/>
    </row>
    <row r="77" customFormat="false" ht="15" hidden="false" customHeight="false" outlineLevel="0" collapsed="false">
      <c r="A77" s="7" t="s">
        <v>266</v>
      </c>
      <c r="B77" s="7" t="s">
        <v>33</v>
      </c>
      <c r="C77" s="7" t="s">
        <v>25</v>
      </c>
      <c r="D77" s="7" t="n">
        <v>99</v>
      </c>
      <c r="E77" s="7" t="s">
        <v>47</v>
      </c>
      <c r="F77" s="8" t="n">
        <v>8295</v>
      </c>
      <c r="G77" s="8" t="n">
        <v>7503</v>
      </c>
      <c r="H77" s="7" t="s">
        <v>48</v>
      </c>
      <c r="I77" s="7" t="s">
        <v>163</v>
      </c>
      <c r="J77" s="7"/>
    </row>
    <row r="78" customFormat="false" ht="15" hidden="false" customHeight="false" outlineLevel="0" collapsed="false">
      <c r="A78" s="5" t="s">
        <v>267</v>
      </c>
      <c r="B78" s="5" t="s">
        <v>32</v>
      </c>
      <c r="C78" s="5" t="s">
        <v>22</v>
      </c>
      <c r="D78" s="5" t="n">
        <v>87</v>
      </c>
      <c r="E78" s="5" t="s">
        <v>268</v>
      </c>
      <c r="F78" s="6" t="n">
        <v>14220</v>
      </c>
      <c r="G78" s="6" t="n">
        <v>7402</v>
      </c>
      <c r="H78" s="5" t="s">
        <v>48</v>
      </c>
      <c r="I78" s="5" t="s">
        <v>163</v>
      </c>
      <c r="J78" s="5" t="s">
        <v>57</v>
      </c>
    </row>
    <row r="79" customFormat="false" ht="15" hidden="false" customHeight="false" outlineLevel="0" collapsed="false">
      <c r="A79" s="7" t="s">
        <v>269</v>
      </c>
      <c r="B79" s="7" t="s">
        <v>33</v>
      </c>
      <c r="C79" s="7" t="s">
        <v>20</v>
      </c>
      <c r="D79" s="7" t="n">
        <v>99</v>
      </c>
      <c r="E79" s="7" t="s">
        <v>102</v>
      </c>
      <c r="F79" s="8" t="n">
        <v>10698</v>
      </c>
      <c r="G79" s="8" t="n">
        <v>7000</v>
      </c>
      <c r="H79" s="7" t="s">
        <v>48</v>
      </c>
      <c r="I79" s="7" t="s">
        <v>163</v>
      </c>
      <c r="J79" s="7" t="s">
        <v>98</v>
      </c>
    </row>
    <row r="80" customFormat="false" ht="15" hidden="false" customHeight="false" outlineLevel="0" collapsed="false">
      <c r="A80" s="5" t="s">
        <v>270</v>
      </c>
      <c r="B80" s="5" t="s">
        <v>33</v>
      </c>
      <c r="C80" s="5" t="s">
        <v>20</v>
      </c>
      <c r="D80" s="5" t="n">
        <v>94</v>
      </c>
      <c r="E80" s="5" t="s">
        <v>271</v>
      </c>
      <c r="F80" s="6" t="n">
        <v>8187</v>
      </c>
      <c r="G80" s="6" t="n">
        <v>6901</v>
      </c>
      <c r="H80" s="5" t="s">
        <v>48</v>
      </c>
      <c r="I80" s="5" t="s">
        <v>163</v>
      </c>
      <c r="J80" s="5"/>
    </row>
    <row r="81" customFormat="false" ht="15" hidden="false" customHeight="false" outlineLevel="0" collapsed="false">
      <c r="A81" s="7" t="s">
        <v>272</v>
      </c>
      <c r="B81" s="7" t="s">
        <v>33</v>
      </c>
      <c r="C81" s="7" t="s">
        <v>17</v>
      </c>
      <c r="D81" s="7" t="n">
        <v>98</v>
      </c>
      <c r="E81" s="7" t="s">
        <v>138</v>
      </c>
      <c r="F81" s="8" t="n">
        <v>12331</v>
      </c>
      <c r="G81" s="8" t="n">
        <v>6666</v>
      </c>
      <c r="H81" s="7" t="s">
        <v>48</v>
      </c>
      <c r="I81" s="7" t="s">
        <v>163</v>
      </c>
      <c r="J81" s="7"/>
    </row>
    <row r="82" customFormat="false" ht="15" hidden="false" customHeight="false" outlineLevel="0" collapsed="false">
      <c r="A82" s="5" t="s">
        <v>273</v>
      </c>
      <c r="B82" s="5" t="s">
        <v>33</v>
      </c>
      <c r="C82" s="5" t="s">
        <v>23</v>
      </c>
      <c r="D82" s="5" t="n">
        <v>93</v>
      </c>
      <c r="E82" s="5" t="s">
        <v>76</v>
      </c>
      <c r="F82" s="6" t="n">
        <v>10699</v>
      </c>
      <c r="G82" s="6" t="n">
        <v>6666</v>
      </c>
      <c r="H82" s="5" t="s">
        <v>48</v>
      </c>
      <c r="I82" s="5" t="s">
        <v>163</v>
      </c>
      <c r="J82" s="5"/>
    </row>
    <row r="83" customFormat="false" ht="15" hidden="false" customHeight="false" outlineLevel="0" collapsed="false">
      <c r="A83" s="7" t="s">
        <v>274</v>
      </c>
      <c r="B83" s="7" t="s">
        <v>33</v>
      </c>
      <c r="C83" s="7" t="s">
        <v>20</v>
      </c>
      <c r="D83" s="7" t="n">
        <v>96</v>
      </c>
      <c r="E83" s="7" t="s">
        <v>51</v>
      </c>
      <c r="F83" s="8" t="n">
        <v>9621</v>
      </c>
      <c r="G83" s="8" t="n">
        <v>6463</v>
      </c>
      <c r="H83" s="7" t="s">
        <v>48</v>
      </c>
      <c r="I83" s="7" t="s">
        <v>163</v>
      </c>
      <c r="J83" s="7"/>
    </row>
    <row r="84" customFormat="false" ht="15" hidden="false" customHeight="false" outlineLevel="0" collapsed="false">
      <c r="A84" s="5" t="s">
        <v>165</v>
      </c>
      <c r="B84" s="5" t="s">
        <v>29</v>
      </c>
      <c r="C84" s="5" t="s">
        <v>25</v>
      </c>
      <c r="D84" s="5" t="n">
        <v>59</v>
      </c>
      <c r="E84" s="5" t="s">
        <v>166</v>
      </c>
      <c r="F84" s="6" t="n">
        <v>11063</v>
      </c>
      <c r="G84" s="6" t="n">
        <v>6100</v>
      </c>
      <c r="H84" s="5" t="s">
        <v>48</v>
      </c>
      <c r="I84" s="5" t="s">
        <v>163</v>
      </c>
      <c r="J84" s="5" t="s">
        <v>164</v>
      </c>
    </row>
    <row r="85" customFormat="false" ht="15" hidden="false" customHeight="false" outlineLevel="0" collapsed="false">
      <c r="A85" s="7" t="s">
        <v>275</v>
      </c>
      <c r="B85" s="7" t="s">
        <v>33</v>
      </c>
      <c r="C85" s="7" t="s">
        <v>17</v>
      </c>
      <c r="D85" s="7" t="n">
        <v>99</v>
      </c>
      <c r="E85" s="7" t="s">
        <v>203</v>
      </c>
      <c r="F85" s="8" t="n">
        <v>13946</v>
      </c>
      <c r="G85" s="8" t="n">
        <v>6001</v>
      </c>
      <c r="H85" s="7" t="s">
        <v>48</v>
      </c>
      <c r="I85" s="7" t="s">
        <v>163</v>
      </c>
      <c r="J85" s="7"/>
    </row>
    <row r="86" customFormat="false" ht="15" hidden="false" customHeight="false" outlineLevel="0" collapsed="false">
      <c r="A86" s="5" t="s">
        <v>276</v>
      </c>
      <c r="B86" s="5" t="s">
        <v>33</v>
      </c>
      <c r="C86" s="5" t="s">
        <v>22</v>
      </c>
      <c r="D86" s="5" t="n">
        <v>99</v>
      </c>
      <c r="E86" s="5" t="s">
        <v>131</v>
      </c>
      <c r="F86" s="6" t="n">
        <v>22471</v>
      </c>
      <c r="G86" s="6" t="n">
        <v>6000</v>
      </c>
      <c r="H86" s="5" t="s">
        <v>48</v>
      </c>
      <c r="I86" s="5" t="s">
        <v>163</v>
      </c>
      <c r="J86" s="5"/>
    </row>
    <row r="87" customFormat="false" ht="15" hidden="false" customHeight="false" outlineLevel="0" collapsed="false">
      <c r="A87" s="7" t="s">
        <v>277</v>
      </c>
      <c r="B87" s="7" t="s">
        <v>33</v>
      </c>
      <c r="C87" s="7" t="s">
        <v>20</v>
      </c>
      <c r="D87" s="7" t="n">
        <v>95</v>
      </c>
      <c r="E87" s="7" t="s">
        <v>100</v>
      </c>
      <c r="F87" s="8" t="n">
        <v>9555</v>
      </c>
      <c r="G87" s="8" t="n">
        <v>6000</v>
      </c>
      <c r="H87" s="7" t="s">
        <v>48</v>
      </c>
      <c r="I87" s="7" t="s">
        <v>163</v>
      </c>
      <c r="J87" s="7"/>
    </row>
    <row r="88" customFormat="false" ht="15" hidden="false" customHeight="false" outlineLevel="0" collapsed="false">
      <c r="A88" s="5" t="s">
        <v>278</v>
      </c>
      <c r="B88" s="5" t="s">
        <v>33</v>
      </c>
      <c r="C88" s="5" t="s">
        <v>22</v>
      </c>
      <c r="D88" s="5" t="n">
        <v>94</v>
      </c>
      <c r="E88" s="5" t="s">
        <v>201</v>
      </c>
      <c r="F88" s="6" t="n">
        <v>7148</v>
      </c>
      <c r="G88" s="6" t="n">
        <v>5699</v>
      </c>
      <c r="H88" s="5" t="s">
        <v>48</v>
      </c>
      <c r="I88" s="5" t="s">
        <v>163</v>
      </c>
      <c r="J88" s="5"/>
    </row>
    <row r="89" customFormat="false" ht="15" hidden="false" customHeight="false" outlineLevel="0" collapsed="false">
      <c r="A89" s="7" t="s">
        <v>279</v>
      </c>
      <c r="B89" s="7" t="s">
        <v>33</v>
      </c>
      <c r="C89" s="7" t="s">
        <v>26</v>
      </c>
      <c r="D89" s="7" t="n">
        <v>92</v>
      </c>
      <c r="E89" s="7" t="s">
        <v>47</v>
      </c>
      <c r="F89" s="8" t="n">
        <v>9854</v>
      </c>
      <c r="G89" s="8" t="n">
        <v>5650</v>
      </c>
      <c r="H89" s="7" t="s">
        <v>48</v>
      </c>
      <c r="I89" s="7" t="s">
        <v>163</v>
      </c>
      <c r="J89" s="7" t="s">
        <v>109</v>
      </c>
    </row>
    <row r="90" customFormat="false" ht="15" hidden="false" customHeight="false" outlineLevel="0" collapsed="false">
      <c r="A90" s="5" t="s">
        <v>280</v>
      </c>
      <c r="B90" s="5" t="s">
        <v>33</v>
      </c>
      <c r="C90" s="5" t="s">
        <v>20</v>
      </c>
      <c r="D90" s="5" t="n">
        <v>93</v>
      </c>
      <c r="E90" s="5" t="s">
        <v>203</v>
      </c>
      <c r="F90" s="6" t="n">
        <v>9021</v>
      </c>
      <c r="G90" s="6" t="n">
        <v>5600</v>
      </c>
      <c r="H90" s="5" t="s">
        <v>48</v>
      </c>
      <c r="I90" s="5" t="s">
        <v>163</v>
      </c>
      <c r="J90" s="5"/>
    </row>
    <row r="91" customFormat="false" ht="15" hidden="false" customHeight="false" outlineLevel="0" collapsed="false">
      <c r="A91" s="7" t="s">
        <v>281</v>
      </c>
      <c r="B91" s="7" t="s">
        <v>34</v>
      </c>
      <c r="C91" s="7" t="s">
        <v>25</v>
      </c>
      <c r="D91" s="7" t="n">
        <v>100</v>
      </c>
      <c r="E91" s="7" t="s">
        <v>47</v>
      </c>
      <c r="F91" s="8" t="n">
        <v>18012</v>
      </c>
      <c r="G91" s="8" t="n">
        <v>5600</v>
      </c>
      <c r="H91" s="7" t="s">
        <v>48</v>
      </c>
      <c r="I91" s="7" t="s">
        <v>163</v>
      </c>
      <c r="J91" s="7"/>
    </row>
    <row r="92" customFormat="false" ht="15" hidden="false" customHeight="false" outlineLevel="0" collapsed="false">
      <c r="A92" s="5" t="s">
        <v>282</v>
      </c>
      <c r="B92" s="5" t="s">
        <v>32</v>
      </c>
      <c r="C92" s="5" t="s">
        <v>22</v>
      </c>
      <c r="D92" s="5" t="n">
        <v>83</v>
      </c>
      <c r="E92" s="5" t="s">
        <v>97</v>
      </c>
      <c r="F92" s="6" t="n">
        <v>11979</v>
      </c>
      <c r="G92" s="6" t="n">
        <v>5555</v>
      </c>
      <c r="H92" s="5" t="s">
        <v>48</v>
      </c>
      <c r="I92" s="5" t="s">
        <v>163</v>
      </c>
      <c r="J92" s="5"/>
    </row>
    <row r="93" customFormat="false" ht="15" hidden="false" customHeight="false" outlineLevel="0" collapsed="false">
      <c r="A93" s="7" t="s">
        <v>283</v>
      </c>
      <c r="B93" s="7" t="s">
        <v>33</v>
      </c>
      <c r="C93" s="7" t="s">
        <v>23</v>
      </c>
      <c r="D93" s="7" t="n">
        <v>92</v>
      </c>
      <c r="E93" s="7" t="s">
        <v>47</v>
      </c>
      <c r="F93" s="8" t="n">
        <v>12430</v>
      </c>
      <c r="G93" s="8" t="n">
        <v>5555</v>
      </c>
      <c r="H93" s="7" t="s">
        <v>48</v>
      </c>
      <c r="I93" s="7" t="s">
        <v>163</v>
      </c>
      <c r="J93" s="7"/>
    </row>
    <row r="94" customFormat="false" ht="15" hidden="false" customHeight="false" outlineLevel="0" collapsed="false">
      <c r="A94" s="5" t="s">
        <v>183</v>
      </c>
      <c r="B94" s="5" t="s">
        <v>31</v>
      </c>
      <c r="C94" s="5" t="s">
        <v>25</v>
      </c>
      <c r="D94" s="5" t="n">
        <v>78</v>
      </c>
      <c r="E94" s="5" t="s">
        <v>173</v>
      </c>
      <c r="F94" s="6" t="n">
        <v>38456</v>
      </c>
      <c r="G94" s="6" t="n">
        <v>5555</v>
      </c>
      <c r="H94" s="5" t="s">
        <v>48</v>
      </c>
      <c r="I94" s="5" t="s">
        <v>163</v>
      </c>
      <c r="J94" s="5" t="s">
        <v>164</v>
      </c>
    </row>
    <row r="95" customFormat="false" ht="15" hidden="false" customHeight="false" outlineLevel="0" collapsed="false">
      <c r="A95" s="7" t="s">
        <v>284</v>
      </c>
      <c r="B95" s="7" t="s">
        <v>33</v>
      </c>
      <c r="C95" s="7" t="s">
        <v>19</v>
      </c>
      <c r="D95" s="7" t="n">
        <v>94</v>
      </c>
      <c r="E95" s="7" t="s">
        <v>236</v>
      </c>
      <c r="F95" s="8" t="n">
        <v>9260</v>
      </c>
      <c r="G95" s="8" t="n">
        <v>5501</v>
      </c>
      <c r="H95" s="7" t="s">
        <v>48</v>
      </c>
      <c r="I95" s="7" t="s">
        <v>163</v>
      </c>
      <c r="J95" s="7"/>
    </row>
    <row r="96" customFormat="false" ht="15" hidden="false" customHeight="false" outlineLevel="0" collapsed="false">
      <c r="A96" s="5" t="s">
        <v>285</v>
      </c>
      <c r="B96" s="5" t="s">
        <v>33</v>
      </c>
      <c r="C96" s="5" t="s">
        <v>27</v>
      </c>
      <c r="D96" s="5" t="n">
        <v>97</v>
      </c>
      <c r="E96" s="5" t="s">
        <v>72</v>
      </c>
      <c r="F96" s="6" t="n">
        <v>6996</v>
      </c>
      <c r="G96" s="6" t="n">
        <v>5500</v>
      </c>
      <c r="H96" s="5" t="s">
        <v>48</v>
      </c>
      <c r="I96" s="5" t="s">
        <v>163</v>
      </c>
      <c r="J96" s="5" t="s">
        <v>109</v>
      </c>
    </row>
    <row r="97" customFormat="false" ht="15" hidden="false" customHeight="false" outlineLevel="0" collapsed="false">
      <c r="A97" s="7" t="s">
        <v>286</v>
      </c>
      <c r="B97" s="7" t="s">
        <v>34</v>
      </c>
      <c r="C97" s="7" t="s">
        <v>25</v>
      </c>
      <c r="D97" s="7" t="n">
        <v>100</v>
      </c>
      <c r="E97" s="7" t="s">
        <v>47</v>
      </c>
      <c r="F97" s="8" t="n">
        <v>22720</v>
      </c>
      <c r="G97" s="8" t="n">
        <v>5250</v>
      </c>
      <c r="H97" s="7" t="s">
        <v>48</v>
      </c>
      <c r="I97" s="7" t="s">
        <v>163</v>
      </c>
      <c r="J97" s="7"/>
    </row>
    <row r="98" customFormat="false" ht="15" hidden="false" customHeight="false" outlineLevel="0" collapsed="false">
      <c r="A98" s="5" t="s">
        <v>287</v>
      </c>
      <c r="B98" s="5" t="s">
        <v>33</v>
      </c>
      <c r="C98" s="5" t="s">
        <v>17</v>
      </c>
      <c r="D98" s="5" t="n">
        <v>95</v>
      </c>
      <c r="E98" s="5" t="s">
        <v>47</v>
      </c>
      <c r="F98" s="6" t="n">
        <v>5853</v>
      </c>
      <c r="G98" s="6" t="n">
        <v>5100</v>
      </c>
      <c r="H98" s="5" t="s">
        <v>48</v>
      </c>
      <c r="I98" s="5" t="s">
        <v>163</v>
      </c>
      <c r="J98" s="5"/>
    </row>
    <row r="99" customFormat="false" ht="15" hidden="false" customHeight="false" outlineLevel="0" collapsed="false">
      <c r="A99" s="7" t="s">
        <v>288</v>
      </c>
      <c r="B99" s="7" t="s">
        <v>29</v>
      </c>
      <c r="C99" s="7" t="s">
        <v>25</v>
      </c>
      <c r="D99" s="7" t="n">
        <v>44</v>
      </c>
      <c r="E99" s="7" t="s">
        <v>243</v>
      </c>
      <c r="F99" s="8" t="n">
        <v>15527</v>
      </c>
      <c r="G99" s="8" t="n">
        <v>5024</v>
      </c>
      <c r="H99" s="7" t="s">
        <v>48</v>
      </c>
      <c r="I99" s="7" t="s">
        <v>163</v>
      </c>
      <c r="J99" s="7" t="s">
        <v>57</v>
      </c>
    </row>
    <row r="100" customFormat="false" ht="15" hidden="false" customHeight="false" outlineLevel="0" collapsed="false">
      <c r="A100" s="5" t="s">
        <v>289</v>
      </c>
      <c r="B100" s="5" t="s">
        <v>33</v>
      </c>
      <c r="C100" s="5" t="s">
        <v>25</v>
      </c>
      <c r="D100" s="5" t="n">
        <v>97</v>
      </c>
      <c r="E100" s="5" t="s">
        <v>201</v>
      </c>
      <c r="F100" s="6" t="n">
        <v>11973</v>
      </c>
      <c r="G100" s="6" t="n">
        <v>5001</v>
      </c>
      <c r="H100" s="5" t="s">
        <v>48</v>
      </c>
      <c r="I100" s="5" t="s">
        <v>163</v>
      </c>
      <c r="J100" s="5"/>
    </row>
    <row r="101" customFormat="false" ht="15" hidden="false" customHeight="false" outlineLevel="0" collapsed="false">
      <c r="A101" s="7" t="s">
        <v>290</v>
      </c>
      <c r="B101" s="7" t="s">
        <v>33</v>
      </c>
      <c r="C101" s="7" t="s">
        <v>22</v>
      </c>
      <c r="D101" s="7" t="n">
        <v>99</v>
      </c>
      <c r="E101" s="7" t="s">
        <v>47</v>
      </c>
      <c r="F101" s="8" t="n">
        <v>5505</v>
      </c>
      <c r="G101" s="8" t="n">
        <v>5001</v>
      </c>
      <c r="H101" s="7" t="s">
        <v>48</v>
      </c>
      <c r="I101" s="7" t="s">
        <v>163</v>
      </c>
      <c r="J101" s="7"/>
    </row>
  </sheetData>
  <autoFilter ref="A1:J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9"/>
    <col collapsed="false" customWidth="true" hidden="false" outlineLevel="0" max="4" min="3" style="0" width="6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10" min="8" style="0" width="10"/>
  </cols>
  <sheetData>
    <row r="1" customFormat="false" ht="15" hidden="false" customHeight="false" outlineLevel="0" collapsed="false">
      <c r="A1" s="4" t="s">
        <v>291</v>
      </c>
      <c r="B1" s="4" t="s">
        <v>15</v>
      </c>
      <c r="C1" s="4" t="s">
        <v>38</v>
      </c>
      <c r="D1" s="4" t="s">
        <v>39</v>
      </c>
      <c r="E1" s="4" t="s">
        <v>40</v>
      </c>
      <c r="F1" s="4" t="s">
        <v>45</v>
      </c>
      <c r="G1" s="4" t="s">
        <v>292</v>
      </c>
      <c r="H1" s="4" t="s">
        <v>41</v>
      </c>
      <c r="I1" s="4" t="s">
        <v>293</v>
      </c>
      <c r="J1" s="4" t="s">
        <v>42</v>
      </c>
    </row>
    <row r="2" customFormat="false" ht="15" hidden="false" customHeight="false" outlineLevel="0" collapsed="false">
      <c r="A2" s="5" t="s">
        <v>294</v>
      </c>
      <c r="B2" s="5" t="s">
        <v>31</v>
      </c>
      <c r="C2" s="5" t="s">
        <v>19</v>
      </c>
      <c r="D2" s="5" t="n">
        <v>76</v>
      </c>
      <c r="E2" s="5" t="s">
        <v>295</v>
      </c>
      <c r="F2" s="5" t="s">
        <v>109</v>
      </c>
      <c r="G2" s="9" t="b">
        <f aca="false">FALSE()</f>
        <v>0</v>
      </c>
      <c r="H2" s="6" t="n">
        <v>1528</v>
      </c>
      <c r="I2" s="6" t="n">
        <v>1508</v>
      </c>
      <c r="J2" s="6" t="n">
        <v>712</v>
      </c>
    </row>
    <row r="3" customFormat="false" ht="15" hidden="false" customHeight="false" outlineLevel="0" collapsed="false">
      <c r="A3" s="7" t="s">
        <v>296</v>
      </c>
      <c r="B3" s="7" t="s">
        <v>29</v>
      </c>
      <c r="C3" s="7" t="s">
        <v>25</v>
      </c>
      <c r="D3" s="7" t="n">
        <v>59</v>
      </c>
      <c r="E3" s="7" t="s">
        <v>166</v>
      </c>
      <c r="F3" s="10" t="s">
        <v>164</v>
      </c>
      <c r="G3" s="11" t="b">
        <f aca="false">TRUE()</f>
        <v>1</v>
      </c>
      <c r="H3" s="8" t="n">
        <v>11063</v>
      </c>
      <c r="I3" s="8" t="n">
        <v>10999</v>
      </c>
      <c r="J3" s="8" t="n">
        <v>6100</v>
      </c>
    </row>
    <row r="4" customFormat="false" ht="15" hidden="false" customHeight="false" outlineLevel="0" collapsed="false">
      <c r="A4" s="5" t="s">
        <v>297</v>
      </c>
      <c r="B4" s="5" t="s">
        <v>29</v>
      </c>
      <c r="C4" s="5" t="s">
        <v>25</v>
      </c>
      <c r="D4" s="5" t="n">
        <v>56</v>
      </c>
      <c r="E4" s="5" t="s">
        <v>166</v>
      </c>
      <c r="F4" s="10" t="s">
        <v>164</v>
      </c>
      <c r="G4" s="9" t="b">
        <f aca="false">FALSE()</f>
        <v>0</v>
      </c>
      <c r="H4" s="6" t="n">
        <v>29582</v>
      </c>
      <c r="I4" s="6" t="n">
        <v>77777</v>
      </c>
      <c r="J4" s="6" t="n">
        <v>29582</v>
      </c>
    </row>
    <row r="5" customFormat="false" ht="15" hidden="false" customHeight="false" outlineLevel="0" collapsed="false">
      <c r="A5" s="7" t="s">
        <v>298</v>
      </c>
      <c r="B5" s="7" t="s">
        <v>29</v>
      </c>
      <c r="C5" s="7" t="s">
        <v>26</v>
      </c>
      <c r="D5" s="7" t="n">
        <v>50</v>
      </c>
      <c r="E5" s="7" t="s">
        <v>299</v>
      </c>
      <c r="F5" s="10" t="s">
        <v>164</v>
      </c>
      <c r="G5" s="11" t="b">
        <f aca="false">FALSE()</f>
        <v>0</v>
      </c>
      <c r="H5" s="8" t="n">
        <v>30328</v>
      </c>
      <c r="I5" s="8" t="n">
        <v>80000</v>
      </c>
      <c r="J5" s="8" t="n">
        <v>30328</v>
      </c>
    </row>
    <row r="6" customFormat="false" ht="15" hidden="false" customHeight="false" outlineLevel="0" collapsed="false">
      <c r="A6" s="5" t="s">
        <v>300</v>
      </c>
      <c r="B6" s="5" t="s">
        <v>29</v>
      </c>
      <c r="C6" s="5" t="s">
        <v>16</v>
      </c>
      <c r="D6" s="5" t="n">
        <v>44</v>
      </c>
      <c r="E6" s="5" t="s">
        <v>299</v>
      </c>
      <c r="F6" s="10" t="s">
        <v>164</v>
      </c>
      <c r="G6" s="9" t="b">
        <f aca="false">FALSE()</f>
        <v>0</v>
      </c>
      <c r="H6" s="6" t="n">
        <v>19352</v>
      </c>
      <c r="I6" s="6" t="n">
        <v>39999</v>
      </c>
      <c r="J6" s="6" t="n">
        <v>13865</v>
      </c>
    </row>
    <row r="7" customFormat="false" ht="15" hidden="false" customHeight="false" outlineLevel="0" collapsed="false">
      <c r="A7" s="7" t="s">
        <v>301</v>
      </c>
      <c r="B7" s="7" t="s">
        <v>29</v>
      </c>
      <c r="C7" s="7" t="s">
        <v>25</v>
      </c>
      <c r="D7" s="7" t="n">
        <v>44</v>
      </c>
      <c r="E7" s="7" t="s">
        <v>166</v>
      </c>
      <c r="F7" s="10" t="s">
        <v>164</v>
      </c>
      <c r="G7" s="11" t="b">
        <f aca="false">FALSE()</f>
        <v>0</v>
      </c>
      <c r="H7" s="8" t="n">
        <v>13381</v>
      </c>
      <c r="I7" s="8" t="n">
        <v>19998</v>
      </c>
      <c r="J7" s="8" t="n">
        <v>14567</v>
      </c>
    </row>
    <row r="8" customFormat="false" ht="15" hidden="false" customHeight="false" outlineLevel="0" collapsed="false">
      <c r="A8" s="5" t="s">
        <v>302</v>
      </c>
      <c r="B8" s="5" t="s">
        <v>29</v>
      </c>
      <c r="C8" s="5" t="s">
        <v>26</v>
      </c>
      <c r="D8" s="5" t="n">
        <v>41</v>
      </c>
      <c r="E8" s="5" t="s">
        <v>299</v>
      </c>
      <c r="F8" s="10" t="s">
        <v>164</v>
      </c>
      <c r="G8" s="9" t="b">
        <f aca="false">FALSE()</f>
        <v>0</v>
      </c>
      <c r="H8" s="6" t="n">
        <v>60999</v>
      </c>
      <c r="I8" s="6" t="n">
        <v>74668</v>
      </c>
      <c r="J8" s="6" t="n">
        <v>31000</v>
      </c>
    </row>
    <row r="9" customFormat="false" ht="15" hidden="false" customHeight="false" outlineLevel="0" collapsed="false">
      <c r="A9" s="7" t="s">
        <v>303</v>
      </c>
      <c r="B9" s="7" t="s">
        <v>30</v>
      </c>
      <c r="C9" s="7" t="s">
        <v>25</v>
      </c>
      <c r="D9" s="7" t="n">
        <v>67</v>
      </c>
      <c r="E9" s="7" t="s">
        <v>299</v>
      </c>
      <c r="F9" s="10" t="s">
        <v>164</v>
      </c>
      <c r="G9" s="11" t="b">
        <f aca="false">FALSE()</f>
        <v>0</v>
      </c>
      <c r="H9" s="8" t="n">
        <v>29252</v>
      </c>
      <c r="I9" s="8" t="n">
        <v>79999</v>
      </c>
      <c r="J9" s="8" t="n">
        <v>27000</v>
      </c>
    </row>
    <row r="10" customFormat="false" ht="15" hidden="false" customHeight="false" outlineLevel="0" collapsed="false">
      <c r="A10" s="5" t="s">
        <v>304</v>
      </c>
      <c r="B10" s="5" t="s">
        <v>30</v>
      </c>
      <c r="C10" s="5" t="s">
        <v>25</v>
      </c>
      <c r="D10" s="5" t="n">
        <v>66</v>
      </c>
      <c r="E10" s="5" t="s">
        <v>299</v>
      </c>
      <c r="F10" s="10" t="s">
        <v>164</v>
      </c>
      <c r="G10" s="9" t="b">
        <f aca="false">FALSE()</f>
        <v>0</v>
      </c>
      <c r="H10" s="6" t="n">
        <v>13051</v>
      </c>
      <c r="I10" s="6" t="n">
        <v>12500</v>
      </c>
      <c r="J10" s="6" t="n">
        <v>2100</v>
      </c>
    </row>
    <row r="11" customFormat="false" ht="15" hidden="false" customHeight="false" outlineLevel="0" collapsed="false">
      <c r="A11" s="7" t="s">
        <v>305</v>
      </c>
      <c r="B11" s="7" t="s">
        <v>30</v>
      </c>
      <c r="C11" s="7" t="s">
        <v>26</v>
      </c>
      <c r="D11" s="7" t="n">
        <v>64</v>
      </c>
      <c r="E11" s="7" t="s">
        <v>166</v>
      </c>
      <c r="F11" s="10" t="s">
        <v>164</v>
      </c>
      <c r="G11" s="11" t="b">
        <f aca="false">FALSE()</f>
        <v>0</v>
      </c>
      <c r="H11" s="8" t="n">
        <v>34718</v>
      </c>
      <c r="I11" s="8" t="n">
        <v>0</v>
      </c>
      <c r="J11" s="8" t="n">
        <v>33334</v>
      </c>
    </row>
    <row r="12" customFormat="false" ht="15" hidden="false" customHeight="false" outlineLevel="0" collapsed="false">
      <c r="A12" s="5" t="s">
        <v>306</v>
      </c>
      <c r="B12" s="5" t="s">
        <v>30</v>
      </c>
      <c r="C12" s="5" t="s">
        <v>25</v>
      </c>
      <c r="D12" s="5" t="n">
        <v>63</v>
      </c>
      <c r="E12" s="5" t="s">
        <v>166</v>
      </c>
      <c r="F12" s="10" t="s">
        <v>164</v>
      </c>
      <c r="G12" s="9" t="b">
        <f aca="false">FALSE()</f>
        <v>0</v>
      </c>
      <c r="H12" s="6" t="n">
        <v>25632</v>
      </c>
      <c r="I12" s="6" t="n">
        <v>0</v>
      </c>
      <c r="J12" s="6" t="n">
        <v>23000</v>
      </c>
    </row>
    <row r="13" customFormat="false" ht="15" hidden="false" customHeight="false" outlineLevel="0" collapsed="false">
      <c r="A13" s="7" t="s">
        <v>307</v>
      </c>
      <c r="B13" s="7" t="s">
        <v>30</v>
      </c>
      <c r="C13" s="7" t="s">
        <v>22</v>
      </c>
      <c r="D13" s="7" t="n">
        <v>63</v>
      </c>
      <c r="E13" s="7" t="s">
        <v>166</v>
      </c>
      <c r="F13" s="10" t="s">
        <v>164</v>
      </c>
      <c r="G13" s="11" t="b">
        <f aca="false">FALSE()</f>
        <v>0</v>
      </c>
      <c r="H13" s="8" t="n">
        <v>6671</v>
      </c>
      <c r="I13" s="8" t="n">
        <v>6499</v>
      </c>
      <c r="J13" s="8" t="n">
        <v>2750</v>
      </c>
    </row>
    <row r="14" customFormat="false" ht="15" hidden="false" customHeight="false" outlineLevel="0" collapsed="false">
      <c r="A14" s="5" t="s">
        <v>308</v>
      </c>
      <c r="B14" s="5" t="s">
        <v>31</v>
      </c>
      <c r="C14" s="5" t="s">
        <v>25</v>
      </c>
      <c r="D14" s="5" t="n">
        <v>79</v>
      </c>
      <c r="E14" s="5" t="s">
        <v>166</v>
      </c>
      <c r="F14" s="10" t="s">
        <v>164</v>
      </c>
      <c r="G14" s="9" t="b">
        <f aca="false">FALSE()</f>
        <v>0</v>
      </c>
      <c r="H14" s="6" t="n">
        <v>73805</v>
      </c>
      <c r="I14" s="6" t="n">
        <v>93775</v>
      </c>
      <c r="J14" s="6" t="n">
        <v>68000</v>
      </c>
    </row>
    <row r="15" customFormat="false" ht="15" hidden="false" customHeight="false" outlineLevel="0" collapsed="false">
      <c r="A15" s="7" t="s">
        <v>309</v>
      </c>
      <c r="B15" s="7" t="s">
        <v>31</v>
      </c>
      <c r="C15" s="7" t="s">
        <v>25</v>
      </c>
      <c r="D15" s="7" t="n">
        <v>76</v>
      </c>
      <c r="E15" s="7" t="s">
        <v>166</v>
      </c>
      <c r="F15" s="10" t="s">
        <v>164</v>
      </c>
      <c r="G15" s="11" t="b">
        <f aca="false">FALSE()</f>
        <v>0</v>
      </c>
      <c r="H15" s="8" t="n">
        <v>38574</v>
      </c>
      <c r="I15" s="8" t="n">
        <v>34999</v>
      </c>
      <c r="J15" s="8" t="n">
        <v>20007</v>
      </c>
    </row>
    <row r="16" customFormat="false" ht="15" hidden="false" customHeight="false" outlineLevel="0" collapsed="false">
      <c r="A16" s="5" t="s">
        <v>310</v>
      </c>
      <c r="B16" s="5" t="s">
        <v>31</v>
      </c>
      <c r="C16" s="5" t="s">
        <v>20</v>
      </c>
      <c r="D16" s="5" t="n">
        <v>76</v>
      </c>
      <c r="E16" s="5" t="s">
        <v>299</v>
      </c>
      <c r="F16" s="10" t="s">
        <v>164</v>
      </c>
      <c r="G16" s="9" t="b">
        <f aca="false">FALSE()</f>
        <v>0</v>
      </c>
      <c r="H16" s="6" t="n">
        <v>18887</v>
      </c>
      <c r="I16" s="6" t="n">
        <v>19964</v>
      </c>
      <c r="J16" s="6" t="n">
        <v>7421</v>
      </c>
    </row>
    <row r="17" customFormat="false" ht="15" hidden="false" customHeight="false" outlineLevel="0" collapsed="false">
      <c r="A17" s="7" t="s">
        <v>311</v>
      </c>
      <c r="B17" s="7" t="s">
        <v>31</v>
      </c>
      <c r="C17" s="7" t="s">
        <v>25</v>
      </c>
      <c r="D17" s="7" t="n">
        <v>73</v>
      </c>
      <c r="E17" s="7" t="s">
        <v>299</v>
      </c>
      <c r="F17" s="10" t="s">
        <v>164</v>
      </c>
      <c r="G17" s="11" t="b">
        <f aca="false">FALSE()</f>
        <v>0</v>
      </c>
      <c r="H17" s="8" t="n">
        <v>55390</v>
      </c>
      <c r="I17" s="8" t="n">
        <v>140000</v>
      </c>
      <c r="J17" s="8" t="n">
        <v>70000</v>
      </c>
    </row>
    <row r="18" customFormat="false" ht="15" hidden="false" customHeight="false" outlineLevel="0" collapsed="false">
      <c r="A18" s="5" t="s">
        <v>312</v>
      </c>
      <c r="B18" s="5" t="s">
        <v>32</v>
      </c>
      <c r="C18" s="5" t="s">
        <v>25</v>
      </c>
      <c r="D18" s="5" t="n">
        <v>88</v>
      </c>
      <c r="E18" s="5" t="s">
        <v>299</v>
      </c>
      <c r="F18" s="10" t="s">
        <v>164</v>
      </c>
      <c r="G18" s="9" t="b">
        <f aca="false">FALSE()</f>
        <v>0</v>
      </c>
      <c r="H18" s="6" t="n">
        <v>37135</v>
      </c>
      <c r="I18" s="6" t="n">
        <v>39999</v>
      </c>
      <c r="J18" s="6" t="n">
        <v>0</v>
      </c>
    </row>
    <row r="19" customFormat="false" ht="15" hidden="false" customHeight="false" outlineLevel="0" collapsed="false">
      <c r="A19" s="7" t="s">
        <v>313</v>
      </c>
      <c r="B19" s="7" t="s">
        <v>32</v>
      </c>
      <c r="C19" s="7" t="s">
        <v>25</v>
      </c>
      <c r="D19" s="7" t="n">
        <v>86</v>
      </c>
      <c r="E19" s="7" t="s">
        <v>166</v>
      </c>
      <c r="F19" s="10" t="s">
        <v>164</v>
      </c>
      <c r="G19" s="11" t="b">
        <f aca="false">FALSE()</f>
        <v>0</v>
      </c>
      <c r="H19" s="8" t="n">
        <v>32164</v>
      </c>
      <c r="I19" s="8" t="n">
        <v>32998</v>
      </c>
      <c r="J19" s="8" t="n">
        <v>20000</v>
      </c>
    </row>
    <row r="20" customFormat="false" ht="15" hidden="false" customHeight="false" outlineLevel="0" collapsed="false">
      <c r="A20" s="5" t="s">
        <v>314</v>
      </c>
      <c r="B20" s="5" t="s">
        <v>32</v>
      </c>
      <c r="C20" s="5" t="s">
        <v>24</v>
      </c>
      <c r="D20" s="5" t="n">
        <v>82</v>
      </c>
      <c r="E20" s="5" t="s">
        <v>299</v>
      </c>
      <c r="F20" s="10" t="s">
        <v>164</v>
      </c>
      <c r="G20" s="9" t="b">
        <f aca="false">FALSE()</f>
        <v>0</v>
      </c>
      <c r="H20" s="6" t="n">
        <v>56644</v>
      </c>
      <c r="I20" s="6" t="n">
        <v>33325</v>
      </c>
      <c r="J20" s="6" t="n">
        <v>0</v>
      </c>
    </row>
    <row r="21" customFormat="false" ht="15" hidden="false" customHeight="false" outlineLevel="0" collapsed="false">
      <c r="A21" s="7" t="s">
        <v>315</v>
      </c>
      <c r="B21" s="7" t="s">
        <v>33</v>
      </c>
      <c r="C21" s="7" t="s">
        <v>25</v>
      </c>
      <c r="D21" s="7" t="n">
        <v>99</v>
      </c>
      <c r="E21" s="7" t="s">
        <v>166</v>
      </c>
      <c r="F21" s="10" t="s">
        <v>164</v>
      </c>
      <c r="G21" s="11" t="b">
        <f aca="false">FALSE()</f>
        <v>0</v>
      </c>
      <c r="H21" s="8" t="n">
        <v>116419</v>
      </c>
      <c r="I21" s="8" t="n">
        <v>0</v>
      </c>
      <c r="J21" s="8" t="n">
        <v>101111</v>
      </c>
    </row>
    <row r="22" customFormat="false" ht="15" hidden="false" customHeight="false" outlineLevel="0" collapsed="false">
      <c r="A22" s="5" t="s">
        <v>316</v>
      </c>
      <c r="B22" s="5" t="s">
        <v>33</v>
      </c>
      <c r="C22" s="5" t="s">
        <v>23</v>
      </c>
      <c r="D22" s="5" t="n">
        <v>94</v>
      </c>
      <c r="E22" s="5" t="s">
        <v>299</v>
      </c>
      <c r="F22" s="10" t="s">
        <v>164</v>
      </c>
      <c r="G22" s="9" t="b">
        <f aca="false">FALSE()</f>
        <v>0</v>
      </c>
      <c r="H22" s="6" t="n">
        <v>83099</v>
      </c>
      <c r="I22" s="6" t="n">
        <v>85000</v>
      </c>
      <c r="J22" s="6" t="n">
        <v>52543</v>
      </c>
    </row>
    <row r="23" customFormat="false" ht="15" hidden="false" customHeight="false" outlineLevel="0" collapsed="false">
      <c r="A23" s="7" t="s">
        <v>317</v>
      </c>
      <c r="B23" s="7" t="s">
        <v>34</v>
      </c>
      <c r="C23" s="7" t="s">
        <v>27</v>
      </c>
      <c r="D23" s="7" t="n">
        <v>102</v>
      </c>
      <c r="E23" s="7" t="s">
        <v>166</v>
      </c>
      <c r="F23" s="10" t="s">
        <v>164</v>
      </c>
      <c r="G23" s="11" t="b">
        <f aca="false">FALSE()</f>
        <v>0</v>
      </c>
      <c r="H23" s="8" t="n">
        <v>484851</v>
      </c>
      <c r="I23" s="8" t="n">
        <v>0</v>
      </c>
      <c r="J23" s="8" t="n">
        <v>500000</v>
      </c>
    </row>
    <row r="24" customFormat="false" ht="15" hidden="false" customHeight="false" outlineLevel="0" collapsed="false">
      <c r="A24" s="5" t="s">
        <v>318</v>
      </c>
      <c r="B24" s="5" t="s">
        <v>34</v>
      </c>
      <c r="C24" s="5" t="s">
        <v>27</v>
      </c>
      <c r="D24" s="5" t="n">
        <v>101</v>
      </c>
      <c r="E24" s="5" t="s">
        <v>299</v>
      </c>
      <c r="F24" s="10" t="s">
        <v>164</v>
      </c>
      <c r="G24" s="9" t="b">
        <f aca="false">FALSE()</f>
        <v>0</v>
      </c>
      <c r="H24" s="6" t="n">
        <v>323666</v>
      </c>
      <c r="I24" s="6" t="n">
        <v>254999</v>
      </c>
      <c r="J24" s="6" t="n">
        <v>99999</v>
      </c>
    </row>
    <row r="25" customFormat="false" ht="15" hidden="false" customHeight="false" outlineLevel="0" collapsed="false">
      <c r="A25" s="7" t="s">
        <v>319</v>
      </c>
      <c r="B25" s="7" t="s">
        <v>29</v>
      </c>
      <c r="C25" s="7" t="s">
        <v>20</v>
      </c>
      <c r="D25" s="7" t="n">
        <v>58</v>
      </c>
      <c r="E25" s="7" t="s">
        <v>295</v>
      </c>
      <c r="F25" s="7"/>
      <c r="G25" s="11" t="b">
        <f aca="false">TRUE()</f>
        <v>1</v>
      </c>
      <c r="H25" s="8" t="n">
        <v>171</v>
      </c>
      <c r="I25" s="8" t="n">
        <v>183</v>
      </c>
      <c r="J25" s="8" t="n">
        <v>13</v>
      </c>
    </row>
    <row r="26" customFormat="false" ht="15" hidden="false" customHeight="false" outlineLevel="0" collapsed="false">
      <c r="A26" s="5" t="s">
        <v>320</v>
      </c>
      <c r="B26" s="5" t="s">
        <v>29</v>
      </c>
      <c r="C26" s="5" t="s">
        <v>18</v>
      </c>
      <c r="D26" s="5" t="n">
        <v>57</v>
      </c>
      <c r="E26" s="5" t="s">
        <v>295</v>
      </c>
      <c r="F26" s="5"/>
      <c r="G26" s="9" t="b">
        <f aca="false">TRUE()</f>
        <v>1</v>
      </c>
      <c r="H26" s="6" t="n">
        <v>160</v>
      </c>
      <c r="I26" s="6" t="n">
        <v>123</v>
      </c>
      <c r="J26" s="6" t="n">
        <v>28</v>
      </c>
    </row>
    <row r="27" customFormat="false" ht="15" hidden="false" customHeight="false" outlineLevel="0" collapsed="false">
      <c r="A27" s="7" t="s">
        <v>321</v>
      </c>
      <c r="B27" s="7" t="s">
        <v>29</v>
      </c>
      <c r="C27" s="7" t="s">
        <v>25</v>
      </c>
      <c r="D27" s="7" t="n">
        <v>56</v>
      </c>
      <c r="E27" s="7" t="s">
        <v>299</v>
      </c>
      <c r="F27" s="7"/>
      <c r="G27" s="11" t="b">
        <f aca="false">TRUE()</f>
        <v>1</v>
      </c>
      <c r="H27" s="8" t="n">
        <v>216</v>
      </c>
      <c r="I27" s="8" t="n">
        <v>181</v>
      </c>
      <c r="J27" s="8" t="n">
        <v>13</v>
      </c>
    </row>
    <row r="28" customFormat="false" ht="15" hidden="false" customHeight="false" outlineLevel="0" collapsed="false">
      <c r="A28" s="5" t="s">
        <v>322</v>
      </c>
      <c r="B28" s="5" t="s">
        <v>29</v>
      </c>
      <c r="C28" s="5" t="s">
        <v>21</v>
      </c>
      <c r="D28" s="5" t="n">
        <v>54</v>
      </c>
      <c r="E28" s="5" t="s">
        <v>295</v>
      </c>
      <c r="F28" s="5"/>
      <c r="G28" s="9" t="b">
        <f aca="false">TRUE()</f>
        <v>1</v>
      </c>
      <c r="H28" s="6" t="n">
        <v>114</v>
      </c>
      <c r="I28" s="6" t="n">
        <v>111</v>
      </c>
      <c r="J28" s="6" t="n">
        <v>9</v>
      </c>
    </row>
    <row r="29" customFormat="false" ht="15" hidden="false" customHeight="false" outlineLevel="0" collapsed="false">
      <c r="A29" s="7" t="s">
        <v>323</v>
      </c>
      <c r="B29" s="7" t="s">
        <v>29</v>
      </c>
      <c r="C29" s="7" t="s">
        <v>26</v>
      </c>
      <c r="D29" s="7" t="n">
        <v>49</v>
      </c>
      <c r="E29" s="7" t="s">
        <v>295</v>
      </c>
      <c r="F29" s="7"/>
      <c r="G29" s="11" t="b">
        <f aca="false">TRUE()</f>
        <v>1</v>
      </c>
      <c r="H29" s="8" t="n">
        <v>115</v>
      </c>
      <c r="I29" s="8" t="n">
        <v>110</v>
      </c>
      <c r="J29" s="8" t="n">
        <v>12</v>
      </c>
    </row>
    <row r="30" customFormat="false" ht="15" hidden="false" customHeight="false" outlineLevel="0" collapsed="false">
      <c r="A30" s="5" t="s">
        <v>324</v>
      </c>
      <c r="B30" s="5" t="s">
        <v>29</v>
      </c>
      <c r="C30" s="5" t="s">
        <v>19</v>
      </c>
      <c r="D30" s="5" t="n">
        <v>48</v>
      </c>
      <c r="E30" s="5" t="s">
        <v>295</v>
      </c>
      <c r="F30" s="5"/>
      <c r="G30" s="9" t="b">
        <f aca="false">FALSE()</f>
        <v>0</v>
      </c>
      <c r="H30" s="6" t="n">
        <v>124</v>
      </c>
      <c r="I30" s="6" t="n">
        <v>144</v>
      </c>
      <c r="J30" s="6" t="n">
        <v>13</v>
      </c>
    </row>
    <row r="31" customFormat="false" ht="15" hidden="false" customHeight="false" outlineLevel="0" collapsed="false">
      <c r="A31" s="7" t="s">
        <v>325</v>
      </c>
      <c r="B31" s="7" t="s">
        <v>29</v>
      </c>
      <c r="C31" s="7" t="s">
        <v>26</v>
      </c>
      <c r="D31" s="7" t="n">
        <v>41</v>
      </c>
      <c r="E31" s="7" t="s">
        <v>295</v>
      </c>
      <c r="F31" s="7"/>
      <c r="G31" s="11" t="b">
        <f aca="false">TRUE()</f>
        <v>1</v>
      </c>
      <c r="H31" s="8" t="n">
        <v>91</v>
      </c>
      <c r="I31" s="8" t="n">
        <v>87</v>
      </c>
      <c r="J31" s="8" t="n">
        <v>9</v>
      </c>
    </row>
    <row r="32" customFormat="false" ht="15" hidden="false" customHeight="false" outlineLevel="0" collapsed="false">
      <c r="A32" s="5" t="s">
        <v>326</v>
      </c>
      <c r="B32" s="5" t="s">
        <v>30</v>
      </c>
      <c r="C32" s="5" t="s">
        <v>16</v>
      </c>
      <c r="D32" s="5" t="n">
        <v>69</v>
      </c>
      <c r="E32" s="5" t="s">
        <v>295</v>
      </c>
      <c r="F32" s="5"/>
      <c r="G32" s="9" t="b">
        <f aca="false">FALSE()</f>
        <v>0</v>
      </c>
      <c r="H32" s="6" t="n">
        <v>248</v>
      </c>
      <c r="I32" s="6" t="n">
        <v>219</v>
      </c>
      <c r="J32" s="6" t="n">
        <v>30</v>
      </c>
    </row>
    <row r="33" customFormat="false" ht="15" hidden="false" customHeight="false" outlineLevel="0" collapsed="false">
      <c r="A33" s="7" t="s">
        <v>327</v>
      </c>
      <c r="B33" s="7" t="s">
        <v>30</v>
      </c>
      <c r="C33" s="7" t="s">
        <v>21</v>
      </c>
      <c r="D33" s="7" t="n">
        <v>67</v>
      </c>
      <c r="E33" s="7" t="s">
        <v>295</v>
      </c>
      <c r="F33" s="7"/>
      <c r="G33" s="11" t="b">
        <f aca="false">TRUE()</f>
        <v>1</v>
      </c>
      <c r="H33" s="8" t="n">
        <v>181</v>
      </c>
      <c r="I33" s="8" t="n">
        <v>173</v>
      </c>
      <c r="J33" s="8" t="n">
        <v>30</v>
      </c>
    </row>
    <row r="34" customFormat="false" ht="15" hidden="false" customHeight="false" outlineLevel="0" collapsed="false">
      <c r="A34" s="5" t="s">
        <v>328</v>
      </c>
      <c r="B34" s="5" t="s">
        <v>30</v>
      </c>
      <c r="C34" s="5" t="s">
        <v>26</v>
      </c>
      <c r="D34" s="5" t="n">
        <v>61</v>
      </c>
      <c r="E34" s="5" t="s">
        <v>295</v>
      </c>
      <c r="F34" s="5"/>
      <c r="G34" s="9" t="b">
        <f aca="false">TRUE()</f>
        <v>1</v>
      </c>
      <c r="H34" s="6" t="n">
        <v>330</v>
      </c>
      <c r="I34" s="6" t="n">
        <v>312</v>
      </c>
      <c r="J34" s="6" t="n">
        <v>29</v>
      </c>
    </row>
    <row r="35" customFormat="false" ht="15" hidden="false" customHeight="false" outlineLevel="0" collapsed="false">
      <c r="A35" s="7" t="s">
        <v>329</v>
      </c>
      <c r="B35" s="7" t="s">
        <v>31</v>
      </c>
      <c r="C35" s="7" t="s">
        <v>23</v>
      </c>
      <c r="D35" s="7" t="n">
        <v>79</v>
      </c>
      <c r="E35" s="7" t="s">
        <v>295</v>
      </c>
      <c r="F35" s="7"/>
      <c r="G35" s="11" t="b">
        <f aca="false">FALSE()</f>
        <v>0</v>
      </c>
      <c r="H35" s="8" t="n">
        <v>1487</v>
      </c>
      <c r="I35" s="8" t="n">
        <v>1708</v>
      </c>
      <c r="J35" s="8" t="n">
        <v>444</v>
      </c>
    </row>
    <row r="36" customFormat="false" ht="15" hidden="false" customHeight="false" outlineLevel="0" collapsed="false">
      <c r="A36" s="5" t="s">
        <v>330</v>
      </c>
      <c r="B36" s="5" t="s">
        <v>31</v>
      </c>
      <c r="C36" s="5" t="s">
        <v>25</v>
      </c>
      <c r="D36" s="5" t="n">
        <v>71</v>
      </c>
      <c r="E36" s="5" t="s">
        <v>295</v>
      </c>
      <c r="F36" s="5"/>
      <c r="G36" s="9" t="b">
        <f aca="false">TRUE()</f>
        <v>1</v>
      </c>
      <c r="H36" s="6" t="n">
        <v>738</v>
      </c>
      <c r="I36" s="6" t="n">
        <v>1000</v>
      </c>
      <c r="J36" s="6" t="n">
        <v>120</v>
      </c>
    </row>
    <row r="37" customFormat="false" ht="15" hidden="false" customHeight="false" outlineLevel="0" collapsed="false">
      <c r="A37" s="7" t="s">
        <v>331</v>
      </c>
      <c r="B37" s="7" t="s">
        <v>32</v>
      </c>
      <c r="C37" s="7" t="s">
        <v>25</v>
      </c>
      <c r="D37" s="7" t="n">
        <v>82</v>
      </c>
      <c r="E37" s="7" t="s">
        <v>295</v>
      </c>
      <c r="F37" s="7"/>
      <c r="G37" s="11" t="b">
        <f aca="false">FALSE()</f>
        <v>0</v>
      </c>
      <c r="H37" s="8" t="n">
        <v>11498</v>
      </c>
      <c r="I37" s="8" t="n">
        <v>20200</v>
      </c>
      <c r="J37" s="8" t="n">
        <v>3000</v>
      </c>
    </row>
    <row r="38" customFormat="false" ht="15" hidden="false" customHeight="false" outlineLevel="0" collapsed="false">
      <c r="A38" s="5" t="s">
        <v>332</v>
      </c>
      <c r="B38" s="5" t="s">
        <v>33</v>
      </c>
      <c r="C38" s="5" t="s">
        <v>25</v>
      </c>
      <c r="D38" s="5" t="n">
        <v>92</v>
      </c>
      <c r="E38" s="5" t="s">
        <v>299</v>
      </c>
      <c r="F38" s="5"/>
      <c r="G38" s="9" t="b">
        <f aca="false">FALSE()</f>
        <v>0</v>
      </c>
      <c r="H38" s="6" t="n">
        <v>28223</v>
      </c>
      <c r="I38" s="6" t="n">
        <v>60000</v>
      </c>
      <c r="J38" s="6" t="n">
        <v>18339</v>
      </c>
    </row>
  </sheetData>
  <autoFilter ref="A1:J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2026-08-27T02:32:19Z</dcterms:created>
  <dc:creator>openpyxl</dc:creator>
  <dc:description/>
  <dc:language>en-US</dc:language>
  <cp:lastModifiedBy/>
  <dcterms:modified xsi:type="dcterms:W3CDTF">2026-08-27T02:32:19Z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