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<sst xmlns="http://schemas.openxmlformats.org/spreadsheetml/2006/main" count="226" uniqueCount="182">
  <si>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</si>
  <si>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</si>
  <si>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</si>
  <si>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</si>
  <si>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</si>
  <si>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</si>
  <si>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</si>
  <si>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</si>
  <si>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</si>
  <si>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</si>
  <si>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</si>
  <si>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</si>
  <si>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</si>
  <si>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</si>
  <si>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</si>
  <si>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</si>
  <si>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</si>
  <si>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</si>
  <si>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</si>
  <si>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</si>
  <si>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</si>
  <si>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</si>
  <si>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</si>
  <si>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</si>
  <si>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</si>
  <si>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</si>
  <si>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</si>
  <si>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</si>
  <si>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</si>
  <si>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</si>
  <si>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</si>
  <si>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</si>
  <si>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</si>
  <si>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</si>
  <si>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</si>
  <si>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</si>
  <si>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</si>
  <si>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</si>
  <si>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</si>
  <si>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</si>
  <si>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</si>
  <si>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</si>
  <si>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</si>
  <si>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</si>
  <si>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</si>
  <si>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</si>
  <si>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</si>
  <si>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</si>
  <si>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</si>
  <si>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</si>
  <si>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</si>
  <si>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</si>
  <si>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</si>
  <si>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</si>
  <si>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</si>
  <si>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</si>
  <si>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</si>
  <si>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</si>
  <si>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</si>
  <si>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</si>
  <si>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</si>
  <si>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</si>
  <si>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</si>
  <si>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</si>
  <si>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</si>
  <si>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</si>
  <si>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</si>
  <si>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</si>
  <si>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</si>
  <si>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</si>
  <si>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</si>
  <si>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</si>
  <si>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</si>
  <si>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</si>
  <si>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</si>
  <si>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</si>
  <si>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</si>
  <si>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</si>
  <si>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</si>
  <si>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</si>
  <si>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</si>
  <si>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</si>
  <si>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</si>
  <si>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</si>
  <si>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</si>
  <si>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</si>
  <si>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</si>
  <si>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</si>
  <si>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</si>
  <si>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</si>
  <si>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</si>
  <si>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</si>
  <si>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</si>
  <si>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</si>
  <si>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</si>
  <si>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</si>
  <si>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</si>
  <si>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</si>
  <si>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</si>
  <si>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</si>
  <si>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</si>
  <si>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</si>
  <si>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</si>
  <si>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</si>
  <si>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</si>
  <si>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</si>
  <si>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</si>
  <si>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</si>
  <si>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</si>
  <si>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</si>
  <si>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</si>
  <si>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</si>
  <si>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</si>
  <si>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</si>
  <si>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</si>
  <si>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</si>
  <si>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</si>
  <si>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</si>
  <si>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</si>
  <si>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</si>
  <si>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</si>
  <si>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Diamond Heart 5-8 (64) +6 DIAMOND. Snack Time on the Ladder 5-8 (32) +3 PDD; 5L Deadball 33-64 (128) +1 PDD. Friday Draft About Nothing (PDW, 256) ELIMINATED. ZEROS: Open Slots, Early Gold 167, Gold Slots 167. Partial day - morning screenshot, expect late adds.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</si>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</sst>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112</v>
      </c>
      <c r="C6" s="7" t="n">
        <v>130</v>
      </c>
      <c r="D6" s="7" t="n">
        <f aca="false">MAX(0,C6-B6)</f>
        <v>18</v>
      </c>
      <c r="E6" s="7" t="n">
        <f aca="false">ROUND(D6/5,1)</f>
        <v>3.6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+18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97</v>
      </c>
      <c r="C7" s="7" t="n">
        <v>129</v>
      </c>
      <c r="D7" s="7" t="n">
        <f aca="false">MAX(0,C7-B7)</f>
        <v>32</v>
      </c>
      <c r="E7" s="7" t="n">
        <f aca="false">ROUND(D7/5,1)</f>
        <v>6.4</v>
      </c>
      <c r="F7" s="7" t="n">
        <f aca="false">ROUND(D7/35,1)</f>
        <v>0.9</v>
      </c>
      <c r="G7" s="8" t="s">
        <v>14</v>
      </c>
      <c r="H7" s="9" t="str">
        <f aca="false">IF(B7&gt;=C7,"QUALIFIED","+"&amp;TEXT(D7,"0")&amp;" to go")</f>
        <v>+32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79</v>
      </c>
      <c r="C8" s="7" t="n">
        <v>114</v>
      </c>
      <c r="D8" s="7" t="n">
        <f aca="false">MAX(0,C8-B8)</f>
        <v>35</v>
      </c>
      <c r="E8" s="7" t="n">
        <f aca="false">ROUND(D8/5,1)</f>
        <v>7</v>
      </c>
      <c r="F8" s="7" t="n">
        <f aca="false">ROUND(D8/35,1)</f>
        <v>1</v>
      </c>
      <c r="G8" s="8" t="s">
        <v>16</v>
      </c>
      <c r="H8" s="9" t="str">
        <f aca="false">IF(B8&gt;=C8,"QUALIFIED","+"&amp;TEXT(D8,"0")&amp;" to go")</f>
        <v>+35 to go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120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125</v>
      </c>
      <c r="C12" s="7" t="n">
        <v>179</v>
      </c>
      <c r="D12" s="7" t="n">
        <f aca="false">MAX(0,C12-B12)</f>
        <v>54</v>
      </c>
      <c r="E12" s="7" t="n">
        <f aca="false">ROUND(D12/5,1)</f>
        <v>10.8</v>
      </c>
      <c r="F12" s="7" t="n">
        <f aca="false">ROUND(D12/35,1)</f>
        <v>1.5</v>
      </c>
      <c r="G12" s="8" t="s">
        <v>24</v>
      </c>
      <c r="H12" s="9" t="str">
        <f aca="false">IF(B12&gt;=C12,"QUALIFIED","+"&amp;TEXT(D12,"0")&amp;" to go")</f>
        <v>+54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241</v>
      </c>
      <c r="C13" s="7" t="n">
        <v>334</v>
      </c>
      <c r="D13" s="7" t="n">
        <f aca="false">MAX(0,C13-B13)</f>
        <v>93</v>
      </c>
      <c r="E13" s="7" t="n">
        <f aca="false">ROUND(D13/5,1)</f>
        <v>18.6</v>
      </c>
      <c r="F13" s="7" t="n">
        <f aca="false">ROUND(D13/35,1)</f>
        <v>2.7</v>
      </c>
      <c r="G13" s="8" t="s">
        <v>26</v>
      </c>
      <c r="H13" s="9" t="str">
        <f aca="false">IF(B13&gt;=C13,"QUALIFIED","+"&amp;TEXT(D13,"0")&amp;" to go")</f>
        <v>+93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42</v>
      </c>
      <c r="C14" s="7" t="n">
        <v>96</v>
      </c>
      <c r="D14" s="7" t="n">
        <f aca="false">MAX(0,C14-B14)</f>
        <v>54</v>
      </c>
      <c r="E14" s="7" t="n">
        <f aca="false">ROUND(D14/5,1)</f>
        <v>10.8</v>
      </c>
      <c r="F14" s="7" t="n">
        <f aca="false">ROUND(D14/35,1)</f>
        <v>1.5</v>
      </c>
      <c r="G14" s="8" t="s">
        <v>28</v>
      </c>
      <c r="H14" s="9" t="str">
        <f aca="false">IF(B14&gt;=C14,"QUALIFIED","+"&amp;TEXT(D14,"0")&amp;" to go")</f>
        <v>+54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6</v>
      </c>
      <c r="H30" s="7" t="n">
        <v>0</v>
      </c>
      <c r="I30" s="7" t="n">
        <v>0</v>
      </c>
      <c r="J30" s="7" t="n">
        <v>0</v>
      </c>
      <c r="K30" s="7" t="n">
        <v>4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122</v>
      </c>
    </row>
    <row r="2" customFormat="false" ht="15" hidden="false" customHeight="true" outlineLevel="0" collapsed="false">
      <c r="A2" s="3" t="s">
        <v>123</v>
      </c>
    </row>
    <row r="4" customFormat="false" ht="15" hidden="false" customHeight="true" outlineLevel="0" collapsed="false">
      <c r="A4" s="10" t="s">
        <v>124</v>
      </c>
      <c r="D4" s="10" t="s">
        <v>125</v>
      </c>
    </row>
    <row r="5" customFormat="false" ht="15" hidden="false" customHeight="true" outlineLevel="0" collapsed="false">
      <c r="A5" s="4" t="s">
        <v>126</v>
      </c>
      <c r="B5" s="4" t="s">
        <v>127</v>
      </c>
      <c r="D5" s="4" t="s">
        <v>128</v>
      </c>
      <c r="E5" s="4" t="s">
        <v>126</v>
      </c>
      <c r="F5" s="4" t="s">
        <v>127</v>
      </c>
      <c r="G5" s="4" t="s">
        <v>129</v>
      </c>
    </row>
    <row r="6" customFormat="false" ht="15" hidden="false" customHeight="true" outlineLevel="0" collapsed="false">
      <c r="A6" s="7" t="s">
        <v>130</v>
      </c>
      <c r="B6" s="7" t="n">
        <v>300</v>
      </c>
      <c r="D6" s="12" t="s">
        <v>131</v>
      </c>
      <c r="E6" s="7" t="s">
        <v>132</v>
      </c>
      <c r="F6" s="7" t="n">
        <v>5</v>
      </c>
      <c r="G6" s="7" t="s">
        <v>133</v>
      </c>
    </row>
    <row r="7" customFormat="false" ht="15" hidden="false" customHeight="true" outlineLevel="0" collapsed="false">
      <c r="A7" s="7" t="s">
        <v>134</v>
      </c>
      <c r="B7" s="7" t="n">
        <v>100</v>
      </c>
      <c r="D7" s="12" t="s">
        <v>135</v>
      </c>
      <c r="E7" s="7" t="s">
        <v>132</v>
      </c>
      <c r="F7" s="7" t="n">
        <v>5</v>
      </c>
      <c r="G7" s="7" t="s">
        <v>136</v>
      </c>
    </row>
    <row r="8" customFormat="false" ht="15" hidden="false" customHeight="true" outlineLevel="0" collapsed="false">
      <c r="A8" s="7" t="s">
        <v>137</v>
      </c>
      <c r="B8" s="7" t="n">
        <v>75</v>
      </c>
      <c r="D8" s="12" t="s">
        <v>138</v>
      </c>
      <c r="E8" s="7" t="s">
        <v>139</v>
      </c>
      <c r="F8" s="7" t="n">
        <v>2</v>
      </c>
      <c r="G8" s="7" t="s">
        <v>133</v>
      </c>
    </row>
    <row r="9" customFormat="false" ht="15" hidden="false" customHeight="true" outlineLevel="0" collapsed="false">
      <c r="A9" s="7" t="s">
        <v>140</v>
      </c>
      <c r="B9" s="7" t="n">
        <v>40</v>
      </c>
      <c r="D9" s="12" t="s">
        <v>141</v>
      </c>
      <c r="E9" s="7" t="s">
        <v>142</v>
      </c>
      <c r="F9" s="7" t="n">
        <v>1</v>
      </c>
      <c r="G9" s="7" t="s">
        <v>133</v>
      </c>
    </row>
    <row r="10" customFormat="false" ht="15" hidden="false" customHeight="true" outlineLevel="0" collapsed="false">
      <c r="A10" s="7" t="s">
        <v>143</v>
      </c>
      <c r="B10" s="7" t="n">
        <v>20</v>
      </c>
      <c r="D10" s="12" t="s">
        <v>144</v>
      </c>
      <c r="E10" s="7" t="s">
        <v>142</v>
      </c>
      <c r="F10" s="7" t="n">
        <v>1</v>
      </c>
      <c r="G10" s="7" t="s">
        <v>133</v>
      </c>
    </row>
    <row r="11" customFormat="false" ht="15" hidden="false" customHeight="true" outlineLevel="0" collapsed="false">
      <c r="A11" s="7" t="s">
        <v>132</v>
      </c>
      <c r="B11" s="7" t="n">
        <v>5</v>
      </c>
      <c r="D11" s="5" t="s">
        <v>145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139</v>
      </c>
      <c r="B12" s="7" t="n">
        <v>2</v>
      </c>
    </row>
    <row r="13" customFormat="false" ht="15" hidden="false" customHeight="true" outlineLevel="0" collapsed="false">
      <c r="A13" s="7" t="s">
        <v>142</v>
      </c>
      <c r="B13" s="7" t="n">
        <v>1</v>
      </c>
    </row>
    <row r="16" customFormat="false" ht="15" hidden="false" customHeight="true" outlineLevel="0" collapsed="false">
      <c r="A16" s="10" t="s">
        <v>146</v>
      </c>
    </row>
    <row r="17" customFormat="false" ht="15" hidden="false" customHeight="true" outlineLevel="0" collapsed="false">
      <c r="A17" s="4" t="s">
        <v>147</v>
      </c>
      <c r="B17" s="4" t="s">
        <v>60</v>
      </c>
      <c r="C17" s="4" t="s">
        <v>148</v>
      </c>
      <c r="D17" s="4" t="s">
        <v>149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150</v>
      </c>
      <c r="B18" s="7" t="s">
        <v>151</v>
      </c>
      <c r="C18" s="7" t="n">
        <v>0</v>
      </c>
      <c r="D18" s="7" t="n">
        <v>0</v>
      </c>
      <c r="E18" s="7" t="n">
        <v>0</v>
      </c>
      <c r="F18" s="12" t="s">
        <v>152</v>
      </c>
    </row>
    <row r="19" customFormat="false" ht="15" hidden="false" customHeight="true" outlineLevel="0" collapsed="false">
      <c r="A19" s="12" t="s">
        <v>153</v>
      </c>
      <c r="B19" s="7" t="s">
        <v>154</v>
      </c>
      <c r="C19" s="7" t="n">
        <v>0</v>
      </c>
      <c r="D19" s="7" t="n">
        <v>0</v>
      </c>
      <c r="E19" s="7" t="n">
        <v>0</v>
      </c>
      <c r="F19" s="12" t="s">
        <v>152</v>
      </c>
    </row>
    <row r="20" customFormat="false" ht="15" hidden="false" customHeight="true" outlineLevel="0" collapsed="false">
      <c r="A20" s="12" t="s">
        <v>155</v>
      </c>
      <c r="B20" s="7" t="s">
        <v>156</v>
      </c>
      <c r="C20" s="7" t="n">
        <v>1</v>
      </c>
      <c r="D20" s="7" t="n">
        <v>0</v>
      </c>
      <c r="E20" s="7" t="n">
        <v>1</v>
      </c>
      <c r="F20" s="12" t="s">
        <v>157</v>
      </c>
    </row>
    <row r="21" customFormat="false" ht="15" hidden="false" customHeight="true" outlineLevel="0" collapsed="false">
      <c r="A21" s="12" t="s">
        <v>158</v>
      </c>
      <c r="B21" s="7" t="s">
        <v>159</v>
      </c>
      <c r="C21" s="7" t="n">
        <v>20</v>
      </c>
      <c r="D21" s="7" t="n">
        <v>0</v>
      </c>
      <c r="E21" s="7" t="n">
        <v>20</v>
      </c>
      <c r="F21" s="12" t="s">
        <v>160</v>
      </c>
    </row>
    <row r="22" customFormat="false" ht="15" hidden="false" customHeight="true" outlineLevel="0" collapsed="false">
      <c r="A22" s="12" t="s">
        <v>161</v>
      </c>
      <c r="B22" s="7" t="s">
        <v>162</v>
      </c>
      <c r="C22" s="7" t="n">
        <v>9</v>
      </c>
      <c r="D22" s="7" t="n">
        <v>5</v>
      </c>
      <c r="E22" s="7" t="n">
        <v>14</v>
      </c>
      <c r="F22" s="12" t="s">
        <v>163</v>
      </c>
    </row>
    <row r="23" customFormat="false" ht="15" hidden="false" customHeight="true" outlineLevel="0" collapsed="false">
      <c r="A23" s="12" t="s">
        <v>164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165</v>
      </c>
    </row>
    <row r="25" customFormat="false" ht="15" hidden="false" customHeight="true" outlineLevel="0" collapsed="false">
      <c r="A25" s="10" t="s">
        <v>166</v>
      </c>
    </row>
    <row r="26" customFormat="false" ht="15" hidden="false" customHeight="true" outlineLevel="0" collapsed="false">
      <c r="A26" s="11" t="s">
        <v>167</v>
      </c>
    </row>
    <row r="27" customFormat="false" ht="15" hidden="false" customHeight="true" outlineLevel="0" collapsed="false">
      <c r="A27" s="11" t="s">
        <v>168</v>
      </c>
    </row>
    <row r="28" customFormat="false" ht="15" hidden="false" customHeight="true" outlineLevel="0" collapsed="false">
      <c r="A28" s="11" t="s">
        <v>169</v>
      </c>
    </row>
    <row r="29" customFormat="false" ht="15" hidden="false" customHeight="true" outlineLevel="0" collapsed="false">
      <c r="A29" s="11" t="s">
        <v>170</v>
      </c>
    </row>
    <row r="30" customFormat="false" ht="15" hidden="false" customHeight="true" outlineLevel="0" collapsed="false">
      <c r="A30" s="11" t="s">
        <v>171</v>
      </c>
    </row>
    <row r="33" customFormat="false" ht="15" hidden="false" customHeight="true" outlineLevel="0" collapsed="false">
      <c r="A33" s="10" t="s">
        <v>172</v>
      </c>
    </row>
    <row r="34" customFormat="false" ht="15" hidden="false" customHeight="true" outlineLevel="0" collapsed="false">
      <c r="A34" s="11" t="s">
        <v>173</v>
      </c>
    </row>
    <row r="35" customFormat="false" ht="15" hidden="false" customHeight="true" outlineLevel="0" collapsed="false">
      <c r="A35" s="11" t="s">
        <v>174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175</v>
      </c>
    </row>
    <row r="38" customFormat="false" ht="15" hidden="false" customHeight="true" outlineLevel="0" collapsed="false">
      <c r="A38" s="11" t="s">
        <v>176</v>
      </c>
    </row>
    <row r="39" customFormat="false" ht="15" hidden="false" customHeight="true" outlineLevel="0" collapsed="false">
      <c r="A39" s="11" t="s">
        <v>177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178</v>
      </c>
    </row>
    <row r="42" customFormat="false" ht="15" hidden="false" customHeight="true" outlineLevel="0" collapsed="false">
      <c r="A42" s="11" t="s">
        <v>179</v>
      </c>
    </row>
    <row r="43" customFormat="false" ht="15" hidden="false" customHeight="true" outlineLevel="0" collapsed="false">
      <c r="A43" s="11" t="s">
        <v>180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2026-08-29T02:31:06Z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