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Daily Log" sheetId="2" state="visible" r:id="rId4"/>
    <sheet name="PTCS-PTM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<sst xmlns="http://schemas.openxmlformats.org/spreadsheetml/2006/main" count="211" uniqueCount="172">
  <si>
    <t xml:space="preserve">PTCS 6 — All 10 Categories (Aug 3 – Sep 6)</t>
  </si>
  <si>
    <t xml:space="preserve">5-week period. Targets = PTCS5 cutoff × 5/4 (estimates — replace with official once week-1 standings post).</t>
  </si>
  <si>
    <t xml:space="preserve">Category</t>
  </si>
  <si>
    <t xml:space="preserve">Total</t>
  </si>
  <si>
    <t xml:space="preserve">Target (est)</t>
  </si>
  <si>
    <t xml:space="preserve">Gap</t>
  </si>
  <si>
    <t xml:space="preserve">Per week</t>
  </si>
  <si>
    <t xml:space="preserve">Per day</t>
  </si>
  <si>
    <t xml:space="preserve">PTCS5 result</t>
  </si>
  <si>
    <t xml:space="preserve">Status</t>
  </si>
  <si>
    <t xml:space="preserve">Iron</t>
  </si>
  <si>
    <t xml:space="preserve">—</t>
  </si>
  <si>
    <t xml:space="preserve">Bronze</t>
  </si>
  <si>
    <t xml:space="preserve">Silver</t>
  </si>
  <si>
    <t xml:space="preserve">87 (missed 16)</t>
  </si>
  <si>
    <t xml:space="preserve">Gold</t>
  </si>
  <si>
    <t xml:space="preserve">119 ✅</t>
  </si>
  <si>
    <t xml:space="preserve">Diamond</t>
  </si>
  <si>
    <t xml:space="preserve">283 ✅</t>
  </si>
  <si>
    <t xml:space="preserve">Open</t>
  </si>
  <si>
    <t xml:space="preserve">14 (not chased)</t>
  </si>
  <si>
    <t xml:space="preserve">Live</t>
  </si>
  <si>
    <t xml:space="preserve">165 ✅</t>
  </si>
  <si>
    <t xml:space="preserve">Cap</t>
  </si>
  <si>
    <t xml:space="preserve">171 ✅</t>
  </si>
  <si>
    <t xml:space="preserve">PD Daily</t>
  </si>
  <si>
    <t xml:space="preserve">403 ✅</t>
  </si>
  <si>
    <t xml:space="preserve">PD Weekly</t>
  </si>
  <si>
    <t xml:space="preserve">17 (not chased)</t>
  </si>
  <si>
    <t xml:space="preserve">HOW TO COVER 10 CATEGORIES ON 4 TOURNEYS + 3 DRAFTS A DAY</t>
  </si>
  <si>
    <t xml:space="preserve">• FEASIBILITY: you need 1,523 pts over 35 days = 43.5/day across 10 categories.</t>
  </si>
  <si>
    <t xml:space="preserve">   In PTCS 5 you produced 43.9/day across just 6. THE CAPACITY IS ALREADY THERE.</t>
  </si>
  <si>
    <t xml:space="preserve">   This is a REDISTRIBUTION problem, not an effort problem.</t>
  </si>
  <si>
    <t xml:space="preserve">PTCS 5 OVERKILL — 418 points spent above the cutoff:</t>
  </si>
  <si>
    <t xml:space="preserve">      Diamond  283 vs  81 needed   = +202 wasted</t>
  </si>
  <si>
    <t xml:space="preserve">      PD Daily 403 vs 267 needed   = +136 wasted</t>
  </si>
  <si>
    <t xml:space="preserve">      Gold/Cap/Live                = +80 combined</t>
  </si>
  <si>
    <t xml:space="preserve">   That Diamond surplus alone is roughly Iron + Bronze targets COMBINED.</t>
  </si>
  <si>
    <t xml:space="preserve">• THE RULE: once a category clears its target, STOP feeding it and move those entries to a laggard.</t>
  </si>
  <si>
    <t xml:space="preserve">   Check the Gap column daily. Anything at 0 = redirect.</t>
  </si>
  <si>
    <t xml:space="preserve">• SLOTS: the 4-tournament cap is CONCURRENT, not daily. Events fire on fixed times all day and free</t>
  </si>
  <si>
    <t xml:space="preserve">   the slot, so you can run 10-15 tournaments/day. Keep all 4 slots full at all times — an idle</t>
  </si>
  <si>
    <t xml:space="preserve">   slot is the only real waste.</t>
  </si>
  <si>
    <t xml:space="preserve">MULTI-TAG EVENTS still do the heavy lifting:</t>
  </si>
  <si>
    <t xml:space="preserve">   • 'Daily Live &lt;Tier&gt;'   -&gt; that Tier + LIVE   (Live Iron/Bronze/Silver/Gold/Diamond/Open)</t>
  </si>
  <si>
    <t xml:space="preserve">   • '&lt;Tier&gt; Cap' / 'Slots'-&gt; that Tier + CAP    (Iron Cap, Bronze Cap, Silver Slots, Gold Slots, Diamond Slots, Open High Cap)</t>
  </si>
  <si>
    <t xml:space="preserve">   • Live DRAFTS           -&gt; PD Daily + LIVE    (Live Breakfast / Speed Run / All Night / Don't Forget)</t>
  </si>
  <si>
    <t xml:space="preserve">   -&gt; Live and Cap should never need a dedicated slot; they ride along on everything.</t>
  </si>
  <si>
    <t xml:space="preserve">• DAILY SHAPE: keep 4 slots full, rotating tiers so Iron/Bronze/Silver/Gold/Diamond/Open each get</t>
  </si>
  <si>
    <t xml:space="preserve">   2-3 entries a day. Prefer the Live-&lt;tier&gt; and &lt;tier&gt;-Cap variants over the plain version -</t>
  </si>
  <si>
    <t xml:space="preserve">   same effort, two categories.</t>
  </si>
  <si>
    <t xml:space="preserve">LESSONS FROM PTCS 5 (5 of 6 berths):</t>
  </si>
  <si>
    <t xml:space="preserve">   • Start every category DAY ONE - Silver missed by 16 only because it began in week 3.</t>
  </si>
  <si>
    <t xml:space="preserve">   • Points are convex: a WIN in a 64 = 25 pts, 17th-32nd = 1. Deep runs &gt;&gt; volume.</t>
  </si>
  <si>
    <t xml:space="preserve">   • Best EV events: Diamonds are Forever 4.46/entry, Diamond &amp; Friends Slots 3.93, Daily Diamond 2.77.</t>
  </si>
  <si>
    <t xml:space="preserve">   • You convert better in 64-team fields (2.72/entry vs 1.75 in 128s), but 128s pay ~50% more at</t>
  </si>
  <si>
    <t xml:space="preserve">     the top - take 128s when you NEED a big score, 64s when accumulating.</t>
  </si>
  <si>
    <t xml:space="preserve">   • Fields do NOT soften late in a period (verified across 6,175 tournaments) - no reason to wait.</t>
  </si>
  <si>
    <t xml:space="preserve">PTCS 6 — Daily Log (Aug 3 – Sep 6)</t>
  </si>
  <si>
    <t xml:space="preserve">All 10 categories. 5-week period. Enter points earned per day.</t>
  </si>
  <si>
    <t xml:space="preserve">Date</t>
  </si>
  <si>
    <t xml:space="preserve">Day</t>
  </si>
  <si>
    <t xml:space="preserve">Notes</t>
  </si>
  <si>
    <t xml:space="preserve">Mon Aug 3</t>
  </si>
  <si>
    <t xml:space="preserve">Mon</t>
  </si>
  <si>
    <t xml:space="preserve">HUGE: D&amp;Friends Slots WINNER +25 Dia/+25 Cap; Diamond Heart 2nd +20 Dia; Meeting 3/4 +10 PDD; Deadball 9-16 +3S/+3C</t>
  </si>
  <si>
    <t xml:space="preserve">Tue Aug 4</t>
  </si>
  <si>
    <t xml:space="preserve">Tue</t>
  </si>
  <si>
    <t xml:space="preserve">Deadball Slots 5-8 +6S/+6C; Diamond Heart 5-8 +10D; Early Gold 17-32 +3G; Struggling 9-16 +3P</t>
  </si>
  <si>
    <t xml:space="preserve">Wed Aug 5</t>
  </si>
  <si>
    <t xml:space="preserve">Wed</t>
  </si>
  <si>
    <t xml:space="preserve">quiet - all 17-32s. Open OPENED +3 (Night of Living Deadball)</t>
  </si>
  <si>
    <t xml:space="preserve">Thu Aug 6</t>
  </si>
  <si>
    <t xml:space="preserve">Thu</t>
  </si>
  <si>
    <t xml:space="preserve">BIG: Live Speed Run 3/4 +10L/+10P; Late Silver 9-16 +6S; Low Gold Retro 5-8 +6G; Sporer's Golden 17-32 +1G; Deadball Slots 17-32 +1S/+1C; Trying to Look Busy 17-32 +1P; Diamond Heart 33-64 +1D. Live All Night 17-32 +1L/+1P (earlier)</t>
  </si>
  <si>
    <t xml:space="preserve">Fri Aug 7</t>
  </si>
  <si>
    <t xml:space="preserve">Fri</t>
  </si>
  <si>
    <t xml:space="preserve">BEST DAY: Nocturnal Mixed Bag WINNER +25 PDD; Low Gold Retro 3/4 +10G; Golden Heart 5-8 +6G; D&amp;Friends Slots 9-16 +3D/+3C; Diamond Slots 9-16 +3D/+3C; Historical Primetime 9-16 +3P; Pizza for Dinner + Look Busy 17-32 +1P each. SILVER BLANKED. Live All Night 33-64 = 0. Thursday Overnight (PD Weekly) ELIMINATED - placement unknown, unscored</t>
  </si>
  <si>
    <t xml:space="preserve">Sat Aug 8</t>
  </si>
  <si>
    <t xml:space="preserve">Sat</t>
  </si>
  <si>
    <t xml:space="preserve">Just Order Pizza 5-8 +6P; Late Silver 17-32 +3S; Diamond Heart 17-32 +3D; Slamboree 33-64 +1S; Golden Heart 17-32 +1G; Look Busy 17-32 +1P. PTCS 5 PLAYED (see PTCS-PTMS sheet)</t>
  </si>
  <si>
    <t xml:space="preserve">Sun Aug 9</t>
  </si>
  <si>
    <t xml:space="preserve">Sun</t>
  </si>
  <si>
    <t xml:space="preserve">SILVER BREAKS OUT +13: Late Silver 5-8 (128) +10S; Silver Heart 9-16 +3S. Good Orderly Evening 3/4 +10P; Diamond Slots 9-16 +3D/+3C. FIRST PD WEEKLY POINT: Up and Down the Ladder 33-64 +1. Early Gold 33-64 +1G; Diamond Heart 17-32 +1D</t>
  </si>
  <si>
    <t xml:space="preserve">Mon Aug 10</t>
  </si>
  <si>
    <t xml:space="preserve">Late Silver 17-32 (128) +3S; Golden Heart 9-16 (64) +3G; Just Order Pizza D&amp;G 3/4 (64) +10 PDD; Gold Slots 17-32 (64) +1G/+1C. ZEROS: Diamond Slots 33-64, Low Gold Retro 33-64, Low Diamond 33-64, Struggling to Sleep 33-64, Monday Gold Floor Cap 65-128 (128), Monday Wonky Historical Slots 65-128 (128). Monday Night History Lesson (PD Weekly, 256) ELIMINATED - placement unknown, unscored</t>
  </si>
  <si>
    <t xml:space="preserve">Tue Aug 11</t>
  </si>
  <si>
    <t xml:space="preserve">Gold Slots 9-16 (64) +3G/+3C; Late Silver 9-16 (128) +6S; Morning Mixed Bag 3/4 (32) +6 PDD; Low Diamond 17-32 (64) +1D; Diamond Slots 17-32 (64) +1D/+1C; Trying to Look Busy 17-32 (64) +1 PDD; Tuesday Evening Adrenaline Rush 65-128 (256) +1 PD WEEKLY - 2nd PDW pt of the period. ZEROS: Early Gold 65-128 (128), Laptophound 6L Power Play 65-128 (128), Diamond Heart 33-64, OOTP and Chill 33-64, D&amp;Friends Slots 33-64, Golden Heart 33-64, Just Order Pizza 33-64, Goldfather II 33-64</t>
  </si>
  <si>
    <t xml:space="preserve">Wed Aug 12</t>
  </si>
  <si>
    <t xml:space="preserve">BRONZE OPENS +10: Bronze The Sequel 5-8 (128). Laptophound 5L Deadball 5-8 (128) +10 PDD; Low Gold Retrospecticus 9-16 (64) +3G; Low Diamond 17-32 (64) +1D. ZEROS: Return of the Bronze 65-128 (128), Trying to Look Busy 33-64 (64)</t>
  </si>
  <si>
    <t xml:space="preserve">Thu Aug 13</t>
  </si>
  <si>
    <t xml:space="preserve">Trying to Look Busy D&amp;G 3/4 (64) +10 PDD; Just Order Pizza D&amp;G 9-16 (64) +3 PDD; Golden Heart 9-16 (64) +3G; Bronze The Sequel 17-32 (128) +3B; Return of the Bronze 33-64 (128) +1B; Silver Slots 17-32 (64) +1S/+1C; Diamond Slots 17-32 (64) +1D/+1C. ZEROS: D&amp;Friends Slots 33-64 (64), Silver &amp; Friends Deadball Slots 33-64 (64), CWhit Cap Challenge 4 65-128 (128). Thursday Silver Spectacular (256) + Thursday Overnight Under the Covers (PD Weekly, 256) ELIMINATED - placement unknown, unscored</t>
  </si>
  <si>
    <t xml:space="preserve">Fri Aug 14</t>
  </si>
  <si>
    <t xml:space="preserve">SILVER &amp; FRIENDS DEADBALL SLOTS 2nd PLACE (64) +15S/+15C - biggest single result of the period. Friday Draft About Nothing 65-128 (256) +1 PD WEEKLY (3rd PDW pt); Trying to Look Busy D&amp;G 17-32 (64) +1 PDD. ZEROS: Open Slots 33-64 (64), Early Gold 65-128 (128), Low Diamond 33-64 (64), Gold Slots 33-64 (64) | LATE ADDS (2nd screenshot): Diamond Slots 9-16 (64) +3D/+3C; Laptophound 6L Power Play 17-32 (128) +3 PDD; Just Order Pizza D&amp;G 17-32 (64) +1 PDD. Additional zeros: Late Silver 65-128 (128), Golden Heart 33-64 (64)</t>
  </si>
  <si>
    <t xml:space="preserve">Sat Aug 15</t>
  </si>
  <si>
    <t xml:space="preserve">LOW BRONZE WINNER (64) +25 BRONZE - first win of the period. Low Gold Retrospecticus 9-16 (64) +3G; Golden Heart 17-32 (64) +1G; Gold Slots 17-32 (64) +1G/+1C; Return of the Bronze 33-64 (128) +1B; TWIPT Saturday Showdown 65-128 (256) +1 PD WEEKLY (4th PDW pt). ZEROS: Bronze The Sequel 65-128 (128) | LATE ADDS: Saturday Diamond Variety 3rd/4th (128) +15 DIAMOND - Dia,TW tags, TW has no standing of its own so Diamond only; Late Silver 33-64 (128) +1S</t>
  </si>
  <si>
    <t xml:space="preserve">Sun Aug 16</t>
  </si>
  <si>
    <t xml:space="preserve">OOTP AND CHILL WINNER (64) +25 PD DAILY - 2nd win of the period. BEST PD WEEKLY DAY: Sunday Up and Down the Ladder 17-32 (128) +3 PDW; Sunday PD Main Event 65-128 (256) +1 PDW. Sunday Open Main Event 33-64 (256) +3 OPEN (first Open pts since Aug 5). Laptophound 5L Deadball 33-64 (128) +1 PDD; Low Bronze 17-32 (64) +1B; Late Silver 33-64 (128) +1S; Silver &amp; Friends Deadball Slots 17-32 (64) +1S/+1C. ZEROS: Golden Heart 33-64 (64), Just Order Pizza D&amp;G 33-64 (64), Sunday Open Slots 65-128 (128), Low Gold Retrospecticus 33-64 (64), Sunday High Iron Floor and Gold Ceiling 65-128 (128), Bronze The Sequel 65-128 (128). END OF WEEK 2.</t>
  </si>
  <si>
    <t xml:space="preserve">Mon Aug 17</t>
  </si>
  <si>
    <t xml:space="preserve">LOW BRONZE 2nd PLACE (64) +15 BRONZE. Return of the Bronze 17-32 (128) +3B; Bronze The Sequel 33-64 (128) +1B; Laptophound 5L Deadball 17-32 (128) +3 PDD; Struggling to Sleep DBL 9-16 (64) +3 PDD; OOTP and Chill 17-32 (64) +1 PDD; Diamond &amp; Friends Slots 17-32 (64) +1D/+1C. ZEROS: Monday Gold Floor Cap 65-128 (128, Op+Cp), Monday Wonky Historical Slots 65-128 (128, Gld+Cp), Late Silver 65-128 (128), Just Order Pizza D&amp;G 33-64 (64), Doc Rock Derby 33-64 (64), Trying to Look Busy D&amp;G 33-64 (64), Early Gold 65-128 (128)</t>
  </si>
  <si>
    <t xml:space="preserve">Tue Aug 18</t>
  </si>
  <si>
    <t xml:space="preserve">THIS COULD VE BEEN AN EMAIL RCK WINNER (64) +25 PD DAILY - 3rd win of the period. Late Silver 3rd/4th (128) +15 SILVER - best Silver result of the period. Bronze The Sequel 17-32 (128) +3B; Nocturnal Mixed Bag 5-8 (32) +3 PDD; Low Bronze 17-32 (64) +1B; Diamond Slots 17-32 (64) +1D/+1C. ZEROS: Mixed Up My Lunch 17-32 (32 - pays 0 there), Just Order Pizza D&amp;G 33-64 (64), Low Gold Retrospecticus 33-64 (64), Early Gold 65-128 (128), Laptophound 5L Deadball 65-128 (128), Bagels and Schmear 33-64 (64), Struggling to Sleep DBL 33-64 (64) | LATE ADD: Tuesday Sporer's Sandlot 33-64 (128, Gld+Cp+TW) +1G/+1C. (Nocturnal Mixed Bag re-appeared in a later screenshot - same event id 2550147, already counted, not double-logged.)</t>
  </si>
  <si>
    <t xml:space="preserve">Wed Aug 19</t>
  </si>
  <si>
    <t xml:space="preserve">QUIET DAY - 6 pts, mostly 33-64s. Late Silver 17-32 (128) +3S; Open Slots 17-32 (64) +1 OPEN/+1C; Laptophound 5L Deadball 33-64 (128) +1 PDD. ZEROS: Low Bronze 33-64 (64), Golden Heart 33-64 (64), Just Order Pizza D&amp;G 33-64 (64), Pitchers First 33-64 (64), Early Gold 65-128 (128), Bronze The Sequel 65-128 (128). Wednesday Ice to See You (Dia,TW, 256) ELIMINATED - placement unknown, unscored</t>
  </si>
  <si>
    <t xml:space="preserve">Thu Aug 20</t>
  </si>
  <si>
    <t xml:space="preserve">CWHIT CAP CHALLENGE 4 QUARTERFINAL (128, Gld+Cp) +10 GOLD/+10 CAP - biggest Cap day since Aug 3. Diamond Slots 9-16 (64) +3D/+3C; Thursday Silver Spectacular 65-128 (256) +1S; Return of the Bronze 33-64 (128) +1B. ZEROS: Goldfather II 33-64 (64), Trying to Look Busy D&amp;G 33-64 (64), Bronze The Sequel 65-128 (128). Thursday Overnight Under the Covers (PD Weekly, 256) ELIMINATED - 3rd time this period, unscored</t>
  </si>
  <si>
    <t xml:space="preserve">Fri Aug 21</t>
  </si>
  <si>
    <t xml:space="preserve">BRONZE DOUBLE: Bronze The Sequel WINNER (128) +30 BRONZE and Low Bronze 2nd (64) +15 BRONZE - biggest Bronze day of the period. Friday Draft About Nothing 5-8 (256) +15 PDW; Gold Slots 9-16 (64) +3G/+3C; Early Gold 33-64 (128) +1G; Laptophound 6L Power Play 33-64 (128) +1 PDD. ZEROS: Golden Heart 33-64 (64), Diamond Slots 33-64 (64), Low Diamond 33-64 (64), Late Silver 65-128 (128), Laptophound 5L Deadball 65-128 (128).</t>
  </si>
  <si>
    <t xml:space="preserve">Sat Aug 22</t>
  </si>
  <si>
    <t xml:space="preserve">PD WEEKLY DAY: Saturday Can't Sleep Clown Will Eat Me 5-8 (256) +15 PDW, Saturday Shrinkage 33-64 (256) +3 PDW. Historical Primetime 9-16 (64) +3 PDD; Gold Slots 9-16 (64) +3G/+3C; Golden Heart 17-32 (64) +1G; Laptophound 6L Power Play 33-64 (128) +1 PDD. ZEROS: Diamonds are Forever 33-64 (64), Low Diamond 33-64 (64), Bronze 1910-59 33-64 (64), Just Order Pizza D&amp;G 33-64 (64), Bagels and Schmear 33-64 (64), Late Silver 65-128 (128), Early Gold 65-128 (128).</t>
  </si>
  <si>
    <t xml:space="preserve">Sun Aug 23</t>
  </si>
  <si>
    <t xml:space="preserve">Gold Slots 5-8 (64) +6G/+6C; Trying to Look Busy D&amp;G 3/4 (64) +10 PDD; Up Late with Rich LAD 3/4 (32) +6 PDD; Sunday High Iron Floor and Gold Ceiling 33-64 (128, Gld+Cp+TW) +1G/+1C; Early Gold 33-64 (128) +1G; Laptophound 5L Deadball 33-64 (128) +1 PDD. ZEROS: Low Diamond 33-64 (64). PARTIAL DAY - screenshot taken Sunday evening; late results may amend this row.</t>
  </si>
  <si>
    <t xml:space="preserve">The Championship Ladder — PTCS → PTMS → PTWC</t>
  </si>
  <si>
    <t xml:space="preserve">Separate from the 10 category standings. Source: 'PT 27 Road to the Perfect Team World Championship'.</t>
  </si>
  <si>
    <t xml:space="preserve">POINTS EARNED FROM A PTCS FINISH (feeds PTMS + PTWC qualifying)</t>
  </si>
  <si>
    <t xml:space="preserve">YOUR PTCS 5 (Aug 8) — all 128-team fields</t>
  </si>
  <si>
    <t xml:space="preserve">Finish</t>
  </si>
  <si>
    <t xml:space="preserve">Points</t>
  </si>
  <si>
    <t xml:space="preserve">Event</t>
  </si>
  <si>
    <t xml:space="preserve">Standing</t>
  </si>
  <si>
    <t xml:space="preserve">1st</t>
  </si>
  <si>
    <t xml:space="preserve">PTCS Gold - Period 5</t>
  </si>
  <si>
    <t xml:space="preserve">17th-32nd</t>
  </si>
  <si>
    <t xml:space="preserve">Tournament</t>
  </si>
  <si>
    <t xml:space="preserve">2nd</t>
  </si>
  <si>
    <t xml:space="preserve">PTCS Daily PD - Period 5</t>
  </si>
  <si>
    <t xml:space="preserve">Perfect Draft</t>
  </si>
  <si>
    <t xml:space="preserve">3rd-4th</t>
  </si>
  <si>
    <t xml:space="preserve">PTCS Diamond - Period 5</t>
  </si>
  <si>
    <t xml:space="preserve">33rd-64th</t>
  </si>
  <si>
    <t xml:space="preserve">5th-8th</t>
  </si>
  <si>
    <t xml:space="preserve">PTCS Cap - Period 5</t>
  </si>
  <si>
    <t xml:space="preserve">65th-128th</t>
  </si>
  <si>
    <t xml:space="preserve">9th-16th</t>
  </si>
  <si>
    <t xml:space="preserve">PTCS Live - Period 5</t>
  </si>
  <si>
    <t xml:space="preserve">PTCS 5 TOTAL</t>
  </si>
  <si>
    <t xml:space="preserve">CUMULATIVE PTCS STANDINGS — top 128 in each qualifies for the PTMS</t>
  </si>
  <si>
    <t xml:space="preserve">PTCS</t>
  </si>
  <si>
    <t xml:space="preserve">Tournament pts</t>
  </si>
  <si>
    <t xml:space="preserve">Perfect Draft pts</t>
  </si>
  <si>
    <t xml:space="preserve">PTCS 1</t>
  </si>
  <si>
    <t xml:space="preserve">Apr 11</t>
  </si>
  <si>
    <t xml:space="preserve">did not qualify</t>
  </si>
  <si>
    <t xml:space="preserve">PTCS 2</t>
  </si>
  <si>
    <t xml:space="preserve">May 9</t>
  </si>
  <si>
    <t xml:space="preserve">PTCS 3</t>
  </si>
  <si>
    <t xml:space="preserve">Jun 6</t>
  </si>
  <si>
    <t xml:space="preserve">1 berth (Diamond) - 65th-128th</t>
  </si>
  <si>
    <t xml:space="preserve">PTCS 4</t>
  </si>
  <si>
    <t xml:space="preserve">Jul 11</t>
  </si>
  <si>
    <t xml:space="preserve">1 berth (Diamond) - 9th-16th. BEST PTCS RESULT SO FAR</t>
  </si>
  <si>
    <t xml:space="preserve">PTCS 5</t>
  </si>
  <si>
    <t xml:space="preserve">Aug 8</t>
  </si>
  <si>
    <t xml:space="preserve">5 berths - Gold 17-32 (5), Diamond 33-64 (2), Cap + Live 65-128 (1 ea) = 9 tourney; Daily PD 17-32 = 5</t>
  </si>
  <si>
    <t xml:space="preserve">TOTAL</t>
  </si>
  <si>
    <t xml:space="preserve">top 128 of EACH standing makes the PTMS</t>
  </si>
  <si>
    <t xml:space="preserve">THE TABLE IS VIOLENTLY CONVEX — BERTHS GET YOU IN, DEPTH GETS YOU POINTS</t>
  </si>
  <si>
    <t xml:space="preserve">PTCS 4: ONE berth, finished 9th-16th  -&gt;  20 pts</t>
  </si>
  <si>
    <t xml:space="preserve">PTCS 5: FIVE berths, best was 17th-32nd  -&gt;  14 pts</t>
  </si>
  <si>
    <t xml:space="preserve">   Five times the entries produced FEWER points. The jump from 17th-32nd (5) to 9th-16th (20) is 4x;</t>
  </si>
  <si>
    <t xml:space="preserve">   9th-16th to 5th-8th is another 2x. A single quarterfinal (40) beats eight 17th-32nd finishes.</t>
  </si>
  <si>
    <t xml:space="preserve">   Berths are the price of admission. Points come from depth, not breadth.</t>
  </si>
  <si>
    <t xml:space="preserve">WHICH WORLD CHAMPIONSHIP YOUR WORK FEEDS</t>
  </si>
  <si>
    <t xml:space="preserve">PTWC 1 (Aug 29-30) qualifies from:  League play to Aug 23  +  PT Live pts/50  +  Weekly leaderboard pts to Aug 2  +  PTCS 1-5  +  PTMS 1-2</t>
  </si>
  <si>
    <t xml:space="preserve">PTWC 2 (Feb 21-22) qualifies from:  League play Aug 24 on  +  PT Live pts/50  +  Weekly leaderboard pts Aug 4-Jan 31  +  PTCS 6-11  +  PTMS 3-4</t>
  </si>
  <si>
    <t xml:space="preserve">&gt;&gt; PTCS 5 was the LAST input to PTWC 1. Everything you score in PTCS 6 feeds PTWC 2 instead.</t>
  </si>
  <si>
    <t xml:space="preserve">&gt;&gt; PTMS 2 (Aug 22): DID NOT QUALIFY - neither the 30-pt tournament standing nor the 5-pt PD standing made the top 128.</t>
  </si>
  <si>
    <t xml:space="preserve">   PTCS 6-11 finishes build the PTMS 3 (Nov 21) / PTMS 4 (Feb 13) standings - that is the PTWC 2 road.</t>
  </si>
  <si>
    <t xml:space="preserve">Cap and Live standings points are excluded from PTWC qualifying (no double-dipping) - they always</t>
  </si>
  <si>
    <t xml:space="preserve">ride along with a tier. The PTCS Cap and PTCS Live EVENTS are separate berths you actually played,</t>
  </si>
  <si>
    <t xml:space="preserve">so they should still count toward the PTMS tournament standing. Worth confirming before relying on it.</t>
  </si>
  <si>
    <t xml:space="preserve">Doc inconsistency: page 1 dates PTWC 1 as Aug 29-30, page 3 says Aug 30-31.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</si>
</sst>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name val="Arial"/>
      <family val="0"/>
      <charset val="1"/>
    </font>
    <font>
      <i val="true"/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0"/>
      <color rgb="FF888888"/>
      <name val="Arial"/>
      <family val="0"/>
      <charset val="1"/>
    </font>
    <font>
      <b val="true"/>
      <sz val="12"/>
      <name val="Arial"/>
      <family val="0"/>
      <charset val="1"/>
    </font>
    <font>
      <sz val="10"/>
      <color rgb="FF444444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B57"/>
        <bgColor rgb="FF444444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B57"/>
      <rgbColor rgb="FF339966"/>
      <rgbColor rgb="FF003300"/>
      <rgbColor rgb="FF333300"/>
      <rgbColor rgb="FF993300"/>
      <rgbColor rgb="FF993366"/>
      <rgbColor rgb="FF333399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13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9"/>
    <col collapsed="false" customWidth="true" hidden="false" outlineLevel="0" max="7" min="7" style="0" width="17"/>
    <col collapsed="false" customWidth="true" hidden="false" outlineLevel="0" max="8" min="8" style="0" width="16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</row>
    <row r="5" customFormat="false" ht="15" hidden="false" customHeight="false" outlineLevel="0" collapsed="false">
      <c r="A5" s="4" t="s">
        <v>10</v>
      </c>
      <c r="B5" s="5" t="n">
        <f aca="false">SUM('Daily Log'!C5:C52)</f>
        <v>0</v>
      </c>
      <c r="C5" s="6" t="n">
        <v>135</v>
      </c>
      <c r="D5" s="6" t="n">
        <f aca="false">MAX(0,C5-B5)</f>
        <v>135</v>
      </c>
      <c r="E5" s="6" t="n">
        <f aca="false">ROUND(D5/5,1)</f>
        <v>27</v>
      </c>
      <c r="F5" s="6" t="n">
        <f aca="false">ROUND(D5/35,1)</f>
        <v>3.9</v>
      </c>
      <c r="G5" s="7" t="s">
        <v>11</v>
      </c>
      <c r="H5" s="8" t="str">
        <f aca="false">IF(B5&gt;=C5,"QUALIFIED","+"&amp;TEXT(D5,"0")&amp;" to go")</f>
        <v>+135 to go</v>
      </c>
    </row>
    <row r="6" customFormat="false" ht="15" hidden="false" customHeight="false" outlineLevel="0" collapsed="false">
      <c r="A6" s="4" t="s">
        <v>12</v>
      </c>
      <c r="B6" s="5" t="n">
        <f aca="false">SUM('Daily Log'!D5:D52)</f>
        <v>110</v>
      </c>
      <c r="C6" s="6" t="n">
        <v>130</v>
      </c>
      <c r="D6" s="6" t="n">
        <f aca="false">MAX(0,C6-B6)</f>
        <v>20</v>
      </c>
      <c r="E6" s="6" t="n">
        <f aca="false">ROUND(D6/5,1)</f>
        <v>4</v>
      </c>
      <c r="F6" s="6" t="n">
        <f aca="false">ROUND(D6/35,1)</f>
        <v>0.6</v>
      </c>
      <c r="G6" s="7" t="s">
        <v>11</v>
      </c>
      <c r="H6" s="8" t="str">
        <f aca="false">IF(B6&gt;=C6,"QUALIFIED","+"&amp;TEXT(D6,"0")&amp;" to go")</f>
        <v>+20 to go</v>
      </c>
    </row>
    <row r="7" customFormat="false" ht="15" hidden="false" customHeight="false" outlineLevel="0" collapsed="false">
      <c r="A7" s="4" t="s">
        <v>13</v>
      </c>
      <c r="B7" s="5" t="n">
        <f aca="false">SUM('Daily Log'!E5:E52)</f>
        <v>85</v>
      </c>
      <c r="C7" s="6" t="n">
        <v>129</v>
      </c>
      <c r="D7" s="6" t="n">
        <f aca="false">MAX(0,C7-B7)</f>
        <v>44</v>
      </c>
      <c r="E7" s="6" t="n">
        <f aca="false">ROUND(D7/5,1)</f>
        <v>8.8</v>
      </c>
      <c r="F7" s="6" t="n">
        <f aca="false">ROUND(D7/35,1)</f>
        <v>1.3</v>
      </c>
      <c r="G7" s="7" t="s">
        <v>14</v>
      </c>
      <c r="H7" s="8" t="str">
        <f aca="false">IF(B7&gt;=C7,"QUALIFIED","+"&amp;TEXT(D7,"0")&amp;" to go")</f>
        <v>+44 to go</v>
      </c>
    </row>
    <row r="8" customFormat="false" ht="15" hidden="false" customHeight="false" outlineLevel="0" collapsed="false">
      <c r="A8" s="4" t="s">
        <v>15</v>
      </c>
      <c r="B8" s="5" t="n">
        <f aca="false">SUM('Daily Log'!F5:F52)</f>
        <v>74</v>
      </c>
      <c r="C8" s="6" t="n">
        <v>114</v>
      </c>
      <c r="D8" s="6" t="n">
        <f aca="false">MAX(0,C8-B8)</f>
        <v>40</v>
      </c>
      <c r="E8" s="6" t="n">
        <f aca="false">ROUND(D8/5,1)</f>
        <v>8</v>
      </c>
      <c r="F8" s="6" t="n">
        <f aca="false">ROUND(D8/35,1)</f>
        <v>1.1</v>
      </c>
      <c r="G8" s="7" t="s">
        <v>16</v>
      </c>
      <c r="H8" s="8" t="str">
        <f aca="false">IF(B8&gt;=C8,"QUALIFIED","+"&amp;TEXT(D8,"0")&amp;" to go")</f>
        <v>+40 to go</v>
      </c>
    </row>
    <row r="9" customFormat="false" ht="15" hidden="false" customHeight="false" outlineLevel="0" collapsed="false">
      <c r="A9" s="4" t="s">
        <v>17</v>
      </c>
      <c r="B9" s="5" t="n">
        <f aca="false">SUM('Daily Log'!G5:G52)</f>
        <v>97</v>
      </c>
      <c r="C9" s="6" t="n">
        <v>101</v>
      </c>
      <c r="D9" s="6" t="n">
        <f aca="false">MAX(0,C9-B9)</f>
        <v>4</v>
      </c>
      <c r="E9" s="6" t="n">
        <f aca="false">ROUND(D9/5,1)</f>
        <v>0.8</v>
      </c>
      <c r="F9" s="6" t="n">
        <f aca="false">ROUND(D9/35,1)</f>
        <v>0.1</v>
      </c>
      <c r="G9" s="7" t="s">
        <v>18</v>
      </c>
      <c r="H9" s="8" t="str">
        <f aca="false">IF(B9&gt;=C9,"QUALIFIED","+"&amp;TEXT(D9,"0")&amp;" to go")</f>
        <v>+4 to go</v>
      </c>
    </row>
    <row r="10" customFormat="false" ht="15" hidden="false" customHeight="false" outlineLevel="0" collapsed="false">
      <c r="A10" s="4" t="s">
        <v>19</v>
      </c>
      <c r="B10" s="5" t="n">
        <f aca="false">SUM('Daily Log'!H5:H52)</f>
        <v>8</v>
      </c>
      <c r="C10" s="6" t="n">
        <v>129</v>
      </c>
      <c r="D10" s="6" t="n">
        <f aca="false">MAX(0,C10-B10)</f>
        <v>121</v>
      </c>
      <c r="E10" s="6" t="n">
        <f aca="false">ROUND(D10/5,1)</f>
        <v>24.2</v>
      </c>
      <c r="F10" s="6" t="n">
        <f aca="false">ROUND(D10/35,1)</f>
        <v>3.5</v>
      </c>
      <c r="G10" s="7" t="s">
        <v>20</v>
      </c>
      <c r="H10" s="8" t="str">
        <f aca="false">IF(B10&gt;=C10,"QUALIFIED","+"&amp;TEXT(D10,"0")&amp;" to go")</f>
        <v>+121 to go</v>
      </c>
    </row>
    <row r="11" customFormat="false" ht="15" hidden="false" customHeight="false" outlineLevel="0" collapsed="false">
      <c r="A11" s="4" t="s">
        <v>21</v>
      </c>
      <c r="B11" s="5" t="n">
        <f aca="false">SUM('Daily Log'!I5:I52)</f>
        <v>12</v>
      </c>
      <c r="C11" s="6" t="n">
        <v>176</v>
      </c>
      <c r="D11" s="6" t="n">
        <f aca="false">MAX(0,C11-B11)</f>
        <v>164</v>
      </c>
      <c r="E11" s="6" t="n">
        <f aca="false">ROUND(D11/5,1)</f>
        <v>32.8</v>
      </c>
      <c r="F11" s="6" t="n">
        <f aca="false">ROUND(D11/35,1)</f>
        <v>4.7</v>
      </c>
      <c r="G11" s="7" t="s">
        <v>22</v>
      </c>
      <c r="H11" s="8" t="str">
        <f aca="false">IF(B11&gt;=C11,"QUALIFIED","+"&amp;TEXT(D11,"0")&amp;" to go")</f>
        <v>+164 to go</v>
      </c>
    </row>
    <row r="12" customFormat="false" ht="15" hidden="false" customHeight="false" outlineLevel="0" collapsed="false">
      <c r="A12" s="4" t="s">
        <v>23</v>
      </c>
      <c r="B12" s="5" t="n">
        <f aca="false">SUM('Daily Log'!J5:J52)</f>
        <v>106</v>
      </c>
      <c r="C12" s="6" t="n">
        <v>179</v>
      </c>
      <c r="D12" s="6" t="n">
        <f aca="false">MAX(0,C12-B12)</f>
        <v>73</v>
      </c>
      <c r="E12" s="6" t="n">
        <f aca="false">ROUND(D12/5,1)</f>
        <v>14.6</v>
      </c>
      <c r="F12" s="6" t="n">
        <f aca="false">ROUND(D12/35,1)</f>
        <v>2.1</v>
      </c>
      <c r="G12" s="7" t="s">
        <v>24</v>
      </c>
      <c r="H12" s="8" t="str">
        <f aca="false">IF(B12&gt;=C12,"QUALIFIED","+"&amp;TEXT(D12,"0")&amp;" to go")</f>
        <v>+73 to go</v>
      </c>
    </row>
    <row r="13" customFormat="false" ht="15" hidden="false" customHeight="false" outlineLevel="0" collapsed="false">
      <c r="A13" s="4" t="s">
        <v>25</v>
      </c>
      <c r="B13" s="5" t="n">
        <f aca="false">SUM('Daily Log'!K5:K52)</f>
        <v>202</v>
      </c>
      <c r="C13" s="6" t="n">
        <v>334</v>
      </c>
      <c r="D13" s="6" t="n">
        <f aca="false">MAX(0,C13-B13)</f>
        <v>132</v>
      </c>
      <c r="E13" s="6" t="n">
        <f aca="false">ROUND(D13/5,1)</f>
        <v>26.4</v>
      </c>
      <c r="F13" s="6" t="n">
        <f aca="false">ROUND(D13/35,1)</f>
        <v>3.8</v>
      </c>
      <c r="G13" s="7" t="s">
        <v>26</v>
      </c>
      <c r="H13" s="8" t="str">
        <f aca="false">IF(B13&gt;=C13,"QUALIFIED","+"&amp;TEXT(D13,"0")&amp;" to go")</f>
        <v>+132 to go</v>
      </c>
    </row>
    <row r="14" customFormat="false" ht="15" hidden="false" customHeight="false" outlineLevel="0" collapsed="false">
      <c r="A14" s="4" t="s">
        <v>27</v>
      </c>
      <c r="B14" s="5" t="n">
        <f aca="false">SUM('Daily Log'!L5:L52)</f>
        <v>41</v>
      </c>
      <c r="C14" s="6" t="n">
        <v>96</v>
      </c>
      <c r="D14" s="6" t="n">
        <f aca="false">MAX(0,C14-B14)</f>
        <v>55</v>
      </c>
      <c r="E14" s="6" t="n">
        <f aca="false">ROUND(D14/5,1)</f>
        <v>11</v>
      </c>
      <c r="F14" s="6" t="n">
        <f aca="false">ROUND(D14/35,1)</f>
        <v>1.6</v>
      </c>
      <c r="G14" s="7" t="s">
        <v>28</v>
      </c>
      <c r="H14" s="8" t="str">
        <f aca="false">IF(B14&gt;=C14,"QUALIFIED","+"&amp;TEXT(D14,"0")&amp;" to go")</f>
        <v>+55 to go</v>
      </c>
    </row>
    <row r="17" customFormat="false" ht="15" hidden="false" customHeight="false" outlineLevel="0" collapsed="false">
      <c r="A17" s="9" t="s">
        <v>29</v>
      </c>
    </row>
    <row r="18" customFormat="false" ht="15" hidden="false" customHeight="false" outlineLevel="0" collapsed="false">
      <c r="A18" s="10" t="s">
        <v>30</v>
      </c>
    </row>
    <row r="19" customFormat="false" ht="15" hidden="false" customHeight="false" outlineLevel="0" collapsed="false">
      <c r="A19" s="10" t="s">
        <v>31</v>
      </c>
    </row>
    <row r="20" customFormat="false" ht="15" hidden="false" customHeight="false" outlineLevel="0" collapsed="false">
      <c r="A20" s="10" t="s">
        <v>32</v>
      </c>
    </row>
    <row r="21" customFormat="false" ht="15" hidden="false" customHeight="false" outlineLevel="0" collapsed="false">
      <c r="A21" s="10"/>
    </row>
    <row r="22" customFormat="false" ht="15" hidden="false" customHeight="false" outlineLevel="0" collapsed="false">
      <c r="A22" s="10" t="s">
        <v>33</v>
      </c>
    </row>
    <row r="23" customFormat="false" ht="15" hidden="false" customHeight="false" outlineLevel="0" collapsed="false">
      <c r="A23" s="10" t="s">
        <v>34</v>
      </c>
    </row>
    <row r="24" customFormat="false" ht="15" hidden="false" customHeight="false" outlineLevel="0" collapsed="false">
      <c r="A24" s="10" t="s">
        <v>35</v>
      </c>
    </row>
    <row r="25" customFormat="false" ht="15" hidden="false" customHeight="false" outlineLevel="0" collapsed="false">
      <c r="A25" s="10" t="s">
        <v>36</v>
      </c>
    </row>
    <row r="26" customFormat="false" ht="15" hidden="false" customHeight="false" outlineLevel="0" collapsed="false">
      <c r="A26" s="10" t="s">
        <v>37</v>
      </c>
    </row>
    <row r="27" customFormat="false" ht="15" hidden="false" customHeight="false" outlineLevel="0" collapsed="false">
      <c r="A27" s="10"/>
    </row>
    <row r="28" customFormat="false" ht="15" hidden="false" customHeight="false" outlineLevel="0" collapsed="false">
      <c r="A28" s="10" t="s">
        <v>38</v>
      </c>
    </row>
    <row r="29" customFormat="false" ht="15" hidden="false" customHeight="false" outlineLevel="0" collapsed="false">
      <c r="A29" s="10" t="s">
        <v>39</v>
      </c>
    </row>
    <row r="30" customFormat="false" ht="15" hidden="false" customHeight="false" outlineLevel="0" collapsed="false">
      <c r="A30" s="10"/>
    </row>
    <row r="31" customFormat="false" ht="15" hidden="false" customHeight="false" outlineLevel="0" collapsed="false">
      <c r="A31" s="10" t="s">
        <v>40</v>
      </c>
    </row>
    <row r="32" customFormat="false" ht="15" hidden="false" customHeight="false" outlineLevel="0" collapsed="false">
      <c r="A32" s="10" t="s">
        <v>41</v>
      </c>
    </row>
    <row r="33" customFormat="false" ht="15" hidden="false" customHeight="false" outlineLevel="0" collapsed="false">
      <c r="A33" s="10" t="s">
        <v>42</v>
      </c>
    </row>
    <row r="34" customFormat="false" ht="15" hidden="false" customHeight="false" outlineLevel="0" collapsed="false">
      <c r="A34" s="10"/>
    </row>
    <row r="35" customFormat="false" ht="15" hidden="false" customHeight="false" outlineLevel="0" collapsed="false">
      <c r="A35" s="10" t="s">
        <v>43</v>
      </c>
    </row>
    <row r="36" customFormat="false" ht="15" hidden="false" customHeight="false" outlineLevel="0" collapsed="false">
      <c r="A36" s="10" t="s">
        <v>44</v>
      </c>
    </row>
    <row r="37" customFormat="false" ht="15" hidden="false" customHeight="false" outlineLevel="0" collapsed="false">
      <c r="A37" s="10" t="s">
        <v>45</v>
      </c>
    </row>
    <row r="38" customFormat="false" ht="15" hidden="false" customHeight="false" outlineLevel="0" collapsed="false">
      <c r="A38" s="10" t="s">
        <v>46</v>
      </c>
    </row>
    <row r="39" customFormat="false" ht="15" hidden="false" customHeight="false" outlineLevel="0" collapsed="false">
      <c r="A39" s="10" t="s">
        <v>47</v>
      </c>
    </row>
    <row r="40" customFormat="false" ht="15" hidden="false" customHeight="false" outlineLevel="0" collapsed="false">
      <c r="A40" s="10"/>
    </row>
    <row r="41" customFormat="false" ht="15" hidden="false" customHeight="false" outlineLevel="0" collapsed="false">
      <c r="A41" s="10" t="s">
        <v>48</v>
      </c>
    </row>
    <row r="42" customFormat="false" ht="15" hidden="false" customHeight="false" outlineLevel="0" collapsed="false">
      <c r="A42" s="10" t="s">
        <v>49</v>
      </c>
    </row>
    <row r="43" customFormat="false" ht="15" hidden="false" customHeight="false" outlineLevel="0" collapsed="false">
      <c r="A43" s="10" t="s">
        <v>50</v>
      </c>
    </row>
    <row r="44" customFormat="false" ht="15" hidden="false" customHeight="false" outlineLevel="0" collapsed="false">
      <c r="A44" s="10"/>
    </row>
    <row r="45" customFormat="false" ht="15" hidden="false" customHeight="false" outlineLevel="0" collapsed="false">
      <c r="A45" s="10" t="s">
        <v>51</v>
      </c>
    </row>
    <row r="46" customFormat="false" ht="15" hidden="false" customHeight="false" outlineLevel="0" collapsed="false">
      <c r="A46" s="10" t="s">
        <v>52</v>
      </c>
    </row>
    <row r="47" customFormat="false" ht="15" hidden="false" customHeight="false" outlineLevel="0" collapsed="false">
      <c r="A47" s="10" t="s">
        <v>53</v>
      </c>
    </row>
    <row r="48" customFormat="false" ht="15" hidden="false" customHeight="false" outlineLevel="0" collapsed="false">
      <c r="A48" s="10" t="s">
        <v>54</v>
      </c>
    </row>
    <row r="49" customFormat="false" ht="15" hidden="false" customHeight="false" outlineLevel="0" collapsed="false">
      <c r="A49" s="10" t="s">
        <v>55</v>
      </c>
    </row>
    <row r="50" customFormat="false" ht="15" hidden="false" customHeight="false" outlineLevel="0" collapsed="false">
      <c r="A50" s="10" t="s">
        <v>56</v>
      </c>
    </row>
    <row r="51" customFormat="false" ht="15" hidden="false" customHeight="false" outlineLevel="0" collapsed="false">
      <c r="A51" s="10" t="s">
        <v>57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6"/>
    <col collapsed="false" customWidth="true" hidden="false" outlineLevel="0" max="6" min="3" style="0" width="8"/>
    <col collapsed="false" customWidth="true" hidden="false" outlineLevel="0" max="7" min="7" style="0" width="9"/>
    <col collapsed="false" customWidth="true" hidden="false" outlineLevel="0" max="10" min="8" style="0" width="8"/>
    <col collapsed="false" customWidth="true" hidden="false" outlineLevel="0" max="12" min="11" style="0" width="10"/>
    <col collapsed="false" customWidth="true" hidden="false" outlineLevel="0" max="13" min="13" style="0" width="52"/>
  </cols>
  <sheetData>
    <row r="1" customFormat="false" ht="18.55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59</v>
      </c>
    </row>
    <row r="4" customFormat="false" ht="15" hidden="false" customHeight="false" outlineLevel="0" collapsed="false">
      <c r="A4" s="3" t="s">
        <v>60</v>
      </c>
      <c r="B4" s="3" t="s">
        <v>61</v>
      </c>
      <c r="C4" s="3" t="s">
        <v>10</v>
      </c>
      <c r="D4" s="3" t="s">
        <v>12</v>
      </c>
      <c r="E4" s="3" t="s">
        <v>13</v>
      </c>
      <c r="F4" s="3" t="s">
        <v>15</v>
      </c>
      <c r="G4" s="3" t="s">
        <v>17</v>
      </c>
      <c r="H4" s="3" t="s">
        <v>19</v>
      </c>
      <c r="I4" s="3" t="s">
        <v>21</v>
      </c>
      <c r="J4" s="3" t="s">
        <v>23</v>
      </c>
      <c r="K4" s="3" t="s">
        <v>25</v>
      </c>
      <c r="L4" s="3" t="s">
        <v>27</v>
      </c>
      <c r="M4" s="3" t="s">
        <v>62</v>
      </c>
    </row>
    <row r="5" customFormat="false" ht="15" hidden="false" customHeight="false" outlineLevel="0" collapsed="false">
      <c r="A5" s="11" t="s">
        <v>63</v>
      </c>
      <c r="B5" s="11" t="s">
        <v>64</v>
      </c>
      <c r="C5" s="6" t="n">
        <v>0</v>
      </c>
      <c r="D5" s="6" t="n">
        <v>0</v>
      </c>
      <c r="E5" s="6" t="n">
        <v>4</v>
      </c>
      <c r="F5" s="6" t="n">
        <v>1</v>
      </c>
      <c r="G5" s="6" t="n">
        <v>45</v>
      </c>
      <c r="H5" s="6" t="n">
        <v>1</v>
      </c>
      <c r="I5" s="6" t="n">
        <v>1</v>
      </c>
      <c r="J5" s="6" t="n">
        <v>31</v>
      </c>
      <c r="K5" s="6" t="n">
        <v>11</v>
      </c>
      <c r="L5" s="6" t="n">
        <v>0</v>
      </c>
      <c r="M5" s="11" t="s">
        <v>65</v>
      </c>
    </row>
    <row r="6" customFormat="false" ht="15" hidden="false" customHeight="false" outlineLevel="0" collapsed="false">
      <c r="A6" s="11" t="s">
        <v>66</v>
      </c>
      <c r="B6" s="11" t="s">
        <v>67</v>
      </c>
      <c r="C6" s="6" t="n">
        <v>0</v>
      </c>
      <c r="D6" s="6" t="n">
        <v>0</v>
      </c>
      <c r="E6" s="6" t="n">
        <v>6</v>
      </c>
      <c r="F6" s="6" t="n">
        <v>3</v>
      </c>
      <c r="G6" s="6" t="n">
        <v>10</v>
      </c>
      <c r="H6" s="6" t="n">
        <v>0</v>
      </c>
      <c r="I6" s="6" t="n">
        <v>0</v>
      </c>
      <c r="J6" s="6" t="n">
        <v>6</v>
      </c>
      <c r="K6" s="6" t="n">
        <v>3</v>
      </c>
      <c r="L6" s="6" t="n">
        <v>0</v>
      </c>
      <c r="M6" s="11" t="s">
        <v>68</v>
      </c>
    </row>
    <row r="7" customFormat="false" ht="15" hidden="false" customHeight="false" outlineLevel="0" collapsed="false">
      <c r="A7" s="11" t="s">
        <v>69</v>
      </c>
      <c r="B7" s="11" t="s">
        <v>70</v>
      </c>
      <c r="C7" s="6" t="n">
        <v>0</v>
      </c>
      <c r="D7" s="6" t="n">
        <v>0</v>
      </c>
      <c r="E7" s="6" t="n">
        <v>4</v>
      </c>
      <c r="F7" s="6" t="n">
        <v>0</v>
      </c>
      <c r="G7" s="6" t="n">
        <v>1</v>
      </c>
      <c r="H7" s="6" t="n">
        <v>3</v>
      </c>
      <c r="I7" s="6" t="n">
        <v>0</v>
      </c>
      <c r="J7" s="6" t="n">
        <v>2</v>
      </c>
      <c r="K7" s="6" t="n">
        <v>0</v>
      </c>
      <c r="L7" s="6" t="n">
        <v>0</v>
      </c>
      <c r="M7" s="11" t="s">
        <v>71</v>
      </c>
    </row>
    <row r="8" customFormat="false" ht="15" hidden="false" customHeight="false" outlineLevel="0" collapsed="false">
      <c r="A8" s="11" t="s">
        <v>72</v>
      </c>
      <c r="B8" s="11" t="s">
        <v>73</v>
      </c>
      <c r="C8" s="6" t="n">
        <v>0</v>
      </c>
      <c r="D8" s="6" t="n">
        <v>0</v>
      </c>
      <c r="E8" s="6" t="n">
        <v>7</v>
      </c>
      <c r="F8" s="6" t="n">
        <v>7</v>
      </c>
      <c r="G8" s="6" t="n">
        <v>1</v>
      </c>
      <c r="H8" s="6" t="n">
        <v>0</v>
      </c>
      <c r="I8" s="6" t="n">
        <v>11</v>
      </c>
      <c r="J8" s="6" t="n">
        <v>1</v>
      </c>
      <c r="K8" s="6" t="n">
        <v>12</v>
      </c>
      <c r="L8" s="6" t="n">
        <v>0</v>
      </c>
      <c r="M8" s="11" t="s">
        <v>74</v>
      </c>
    </row>
    <row r="9" customFormat="false" ht="15" hidden="false" customHeight="false" outlineLevel="0" collapsed="false">
      <c r="A9" s="11" t="s">
        <v>75</v>
      </c>
      <c r="B9" s="11" t="s">
        <v>76</v>
      </c>
      <c r="C9" s="6" t="n">
        <v>0</v>
      </c>
      <c r="D9" s="6" t="n">
        <v>0</v>
      </c>
      <c r="E9" s="6" t="n">
        <v>0</v>
      </c>
      <c r="F9" s="6" t="n">
        <v>16</v>
      </c>
      <c r="G9" s="6" t="n">
        <v>6</v>
      </c>
      <c r="H9" s="6" t="n">
        <v>0</v>
      </c>
      <c r="I9" s="6" t="n">
        <v>0</v>
      </c>
      <c r="J9" s="6" t="n">
        <v>6</v>
      </c>
      <c r="K9" s="6" t="n">
        <v>30</v>
      </c>
      <c r="L9" s="6" t="n">
        <v>0</v>
      </c>
      <c r="M9" s="11" t="s">
        <v>77</v>
      </c>
    </row>
    <row r="10" customFormat="false" ht="15" hidden="false" customHeight="false" outlineLevel="0" collapsed="false">
      <c r="A10" s="11" t="s">
        <v>78</v>
      </c>
      <c r="B10" s="11" t="s">
        <v>79</v>
      </c>
      <c r="C10" s="6" t="n">
        <v>0</v>
      </c>
      <c r="D10" s="6" t="n">
        <v>0</v>
      </c>
      <c r="E10" s="6" t="n">
        <v>4</v>
      </c>
      <c r="F10" s="6" t="n">
        <v>1</v>
      </c>
      <c r="G10" s="6" t="n">
        <v>3</v>
      </c>
      <c r="H10" s="6" t="n">
        <v>0</v>
      </c>
      <c r="I10" s="6" t="n">
        <v>0</v>
      </c>
      <c r="J10" s="6" t="n">
        <v>0</v>
      </c>
      <c r="K10" s="6" t="n">
        <v>7</v>
      </c>
      <c r="L10" s="6" t="n">
        <v>0</v>
      </c>
      <c r="M10" s="11" t="s">
        <v>80</v>
      </c>
    </row>
    <row r="11" customFormat="false" ht="15" hidden="false" customHeight="false" outlineLevel="0" collapsed="false">
      <c r="A11" s="11" t="s">
        <v>81</v>
      </c>
      <c r="B11" s="11" t="s">
        <v>82</v>
      </c>
      <c r="C11" s="6" t="n">
        <v>0</v>
      </c>
      <c r="D11" s="6" t="n">
        <v>0</v>
      </c>
      <c r="E11" s="6" t="n">
        <v>13</v>
      </c>
      <c r="F11" s="6" t="n">
        <v>1</v>
      </c>
      <c r="G11" s="6" t="n">
        <v>4</v>
      </c>
      <c r="H11" s="6" t="n">
        <v>0</v>
      </c>
      <c r="I11" s="6" t="n">
        <v>0</v>
      </c>
      <c r="J11" s="6" t="n">
        <v>3</v>
      </c>
      <c r="K11" s="6" t="n">
        <v>10</v>
      </c>
      <c r="L11" s="6" t="n">
        <v>1</v>
      </c>
      <c r="M11" s="11" t="s">
        <v>83</v>
      </c>
    </row>
    <row r="12" customFormat="false" ht="15" hidden="false" customHeight="false" outlineLevel="0" collapsed="false">
      <c r="A12" s="11" t="s">
        <v>84</v>
      </c>
      <c r="B12" s="11" t="s">
        <v>64</v>
      </c>
      <c r="C12" s="6" t="n">
        <v>0</v>
      </c>
      <c r="D12" s="6" t="n">
        <v>0</v>
      </c>
      <c r="E12" s="6" t="n">
        <v>3</v>
      </c>
      <c r="F12" s="6" t="n">
        <v>4</v>
      </c>
      <c r="G12" s="6" t="n">
        <v>0</v>
      </c>
      <c r="H12" s="6" t="n">
        <v>0</v>
      </c>
      <c r="I12" s="6" t="n">
        <v>0</v>
      </c>
      <c r="J12" s="6" t="n">
        <v>1</v>
      </c>
      <c r="K12" s="6" t="n">
        <v>10</v>
      </c>
      <c r="L12" s="6" t="n">
        <v>0</v>
      </c>
      <c r="M12" s="11" t="s">
        <v>85</v>
      </c>
    </row>
    <row r="13" customFormat="false" ht="15" hidden="false" customHeight="false" outlineLevel="0" collapsed="false">
      <c r="A13" s="11" t="s">
        <v>86</v>
      </c>
      <c r="B13" s="11" t="s">
        <v>67</v>
      </c>
      <c r="C13" s="6" t="n">
        <v>0</v>
      </c>
      <c r="D13" s="6" t="n">
        <v>0</v>
      </c>
      <c r="E13" s="6" t="n">
        <v>6</v>
      </c>
      <c r="F13" s="6" t="n">
        <v>3</v>
      </c>
      <c r="G13" s="6" t="n">
        <v>2</v>
      </c>
      <c r="H13" s="6" t="n">
        <v>0</v>
      </c>
      <c r="I13" s="6" t="n">
        <v>0</v>
      </c>
      <c r="J13" s="6" t="n">
        <v>4</v>
      </c>
      <c r="K13" s="6" t="n">
        <v>7</v>
      </c>
      <c r="L13" s="6" t="n">
        <v>1</v>
      </c>
      <c r="M13" s="11" t="s">
        <v>87</v>
      </c>
    </row>
    <row r="14" customFormat="false" ht="15" hidden="false" customHeight="false" outlineLevel="0" collapsed="false">
      <c r="A14" s="11" t="s">
        <v>88</v>
      </c>
      <c r="B14" s="11" t="s">
        <v>70</v>
      </c>
      <c r="C14" s="6" t="n">
        <v>0</v>
      </c>
      <c r="D14" s="6" t="n">
        <v>10</v>
      </c>
      <c r="E14" s="6" t="n">
        <v>0</v>
      </c>
      <c r="F14" s="6" t="n">
        <v>3</v>
      </c>
      <c r="G14" s="6" t="n">
        <v>1</v>
      </c>
      <c r="H14" s="6" t="n">
        <v>0</v>
      </c>
      <c r="I14" s="6" t="n">
        <v>0</v>
      </c>
      <c r="J14" s="6" t="n">
        <v>0</v>
      </c>
      <c r="K14" s="6" t="n">
        <v>10</v>
      </c>
      <c r="L14" s="6" t="n">
        <v>0</v>
      </c>
      <c r="M14" s="11" t="s">
        <v>89</v>
      </c>
    </row>
    <row r="15" customFormat="false" ht="15" hidden="false" customHeight="false" outlineLevel="0" collapsed="false">
      <c r="A15" s="11" t="s">
        <v>90</v>
      </c>
      <c r="B15" s="11" t="s">
        <v>73</v>
      </c>
      <c r="C15" s="6" t="n">
        <v>0</v>
      </c>
      <c r="D15" s="6" t="n">
        <v>4</v>
      </c>
      <c r="E15" s="6" t="n">
        <v>1</v>
      </c>
      <c r="F15" s="6" t="n">
        <v>3</v>
      </c>
      <c r="G15" s="6" t="n">
        <v>1</v>
      </c>
      <c r="H15" s="6" t="n">
        <v>0</v>
      </c>
      <c r="I15" s="6" t="n">
        <v>0</v>
      </c>
      <c r="J15" s="6" t="n">
        <v>2</v>
      </c>
      <c r="K15" s="6" t="n">
        <v>13</v>
      </c>
      <c r="L15" s="6" t="n">
        <v>0</v>
      </c>
      <c r="M15" s="11" t="s">
        <v>91</v>
      </c>
    </row>
    <row r="16" customFormat="false" ht="15" hidden="false" customHeight="false" outlineLevel="0" collapsed="false">
      <c r="A16" s="11" t="s">
        <v>92</v>
      </c>
      <c r="B16" s="11" t="s">
        <v>76</v>
      </c>
      <c r="C16" s="6" t="n">
        <v>0</v>
      </c>
      <c r="D16" s="6" t="n">
        <v>0</v>
      </c>
      <c r="E16" s="6" t="n">
        <v>15</v>
      </c>
      <c r="F16" s="6" t="n">
        <v>0</v>
      </c>
      <c r="G16" s="6" t="n">
        <v>3</v>
      </c>
      <c r="H16" s="6" t="n">
        <v>0</v>
      </c>
      <c r="I16" s="6" t="n">
        <v>0</v>
      </c>
      <c r="J16" s="6" t="n">
        <v>18</v>
      </c>
      <c r="K16" s="6" t="n">
        <v>5</v>
      </c>
      <c r="L16" s="6" t="n">
        <v>1</v>
      </c>
      <c r="M16" s="11" t="s">
        <v>93</v>
      </c>
    </row>
    <row r="17" customFormat="false" ht="15" hidden="false" customHeight="false" outlineLevel="0" collapsed="false">
      <c r="A17" s="11" t="s">
        <v>94</v>
      </c>
      <c r="B17" s="11" t="s">
        <v>79</v>
      </c>
      <c r="C17" s="6" t="n">
        <v>0</v>
      </c>
      <c r="D17" s="6" t="n">
        <v>26</v>
      </c>
      <c r="E17" s="6" t="n">
        <v>1</v>
      </c>
      <c r="F17" s="6" t="n">
        <v>5</v>
      </c>
      <c r="G17" s="6" t="n">
        <v>15</v>
      </c>
      <c r="H17" s="6" t="n">
        <v>0</v>
      </c>
      <c r="I17" s="6" t="n">
        <v>0</v>
      </c>
      <c r="J17" s="6" t="n">
        <v>1</v>
      </c>
      <c r="K17" s="6" t="n">
        <v>0</v>
      </c>
      <c r="L17" s="6" t="n">
        <v>1</v>
      </c>
      <c r="M17" s="11" t="s">
        <v>95</v>
      </c>
    </row>
    <row r="18" customFormat="false" ht="15" hidden="false" customHeight="false" outlineLevel="0" collapsed="false">
      <c r="A18" s="11" t="s">
        <v>96</v>
      </c>
      <c r="B18" s="11" t="s">
        <v>82</v>
      </c>
      <c r="C18" s="6" t="n">
        <v>0</v>
      </c>
      <c r="D18" s="6" t="n">
        <v>1</v>
      </c>
      <c r="E18" s="6" t="n">
        <v>2</v>
      </c>
      <c r="F18" s="6" t="n">
        <v>0</v>
      </c>
      <c r="G18" s="6" t="n">
        <v>0</v>
      </c>
      <c r="H18" s="6" t="n">
        <v>3</v>
      </c>
      <c r="I18" s="6" t="n">
        <v>0</v>
      </c>
      <c r="J18" s="6" t="n">
        <v>1</v>
      </c>
      <c r="K18" s="6" t="n">
        <v>26</v>
      </c>
      <c r="L18" s="6" t="n">
        <v>4</v>
      </c>
      <c r="M18" s="11" t="s">
        <v>97</v>
      </c>
    </row>
    <row r="19" customFormat="false" ht="15" hidden="false" customHeight="false" outlineLevel="0" collapsed="false">
      <c r="A19" s="11" t="s">
        <v>98</v>
      </c>
      <c r="B19" s="11" t="s">
        <v>64</v>
      </c>
      <c r="C19" s="6" t="n">
        <v>0</v>
      </c>
      <c r="D19" s="6" t="n">
        <v>19</v>
      </c>
      <c r="E19" s="6" t="n">
        <v>0</v>
      </c>
      <c r="F19" s="6" t="n">
        <v>0</v>
      </c>
      <c r="G19" s="6" t="n">
        <v>1</v>
      </c>
      <c r="H19" s="6" t="n">
        <v>0</v>
      </c>
      <c r="I19" s="6" t="n">
        <v>0</v>
      </c>
      <c r="J19" s="6" t="n">
        <v>1</v>
      </c>
      <c r="K19" s="6" t="n">
        <v>7</v>
      </c>
      <c r="L19" s="6" t="n">
        <v>0</v>
      </c>
      <c r="M19" s="11" t="s">
        <v>99</v>
      </c>
    </row>
    <row r="20" customFormat="false" ht="15" hidden="false" customHeight="false" outlineLevel="0" collapsed="false">
      <c r="A20" s="11" t="s">
        <v>100</v>
      </c>
      <c r="B20" s="11" t="s">
        <v>67</v>
      </c>
      <c r="C20" s="6" t="n">
        <v>0</v>
      </c>
      <c r="D20" s="6" t="n">
        <v>4</v>
      </c>
      <c r="E20" s="6" t="n">
        <v>15</v>
      </c>
      <c r="F20" s="6" t="n">
        <v>1</v>
      </c>
      <c r="G20" s="6" t="n">
        <v>1</v>
      </c>
      <c r="H20" s="6" t="n">
        <v>0</v>
      </c>
      <c r="I20" s="6" t="n">
        <v>0</v>
      </c>
      <c r="J20" s="6" t="n">
        <v>2</v>
      </c>
      <c r="K20" s="6" t="n">
        <v>28</v>
      </c>
      <c r="L20" s="6" t="n">
        <v>0</v>
      </c>
      <c r="M20" s="11" t="s">
        <v>101</v>
      </c>
    </row>
    <row r="21" customFormat="false" ht="15" hidden="false" customHeight="false" outlineLevel="0" collapsed="false">
      <c r="A21" s="11" t="s">
        <v>102</v>
      </c>
      <c r="B21" s="11" t="s">
        <v>70</v>
      </c>
      <c r="C21" s="6" t="n">
        <v>0</v>
      </c>
      <c r="D21" s="6" t="n">
        <v>0</v>
      </c>
      <c r="E21" s="6" t="n">
        <v>3</v>
      </c>
      <c r="F21" s="6" t="n">
        <v>0</v>
      </c>
      <c r="G21" s="6" t="n">
        <v>0</v>
      </c>
      <c r="H21" s="6" t="n">
        <v>1</v>
      </c>
      <c r="I21" s="6" t="n">
        <v>0</v>
      </c>
      <c r="J21" s="6" t="n">
        <v>1</v>
      </c>
      <c r="K21" s="6" t="n">
        <v>1</v>
      </c>
      <c r="L21" s="6" t="n">
        <v>0</v>
      </c>
      <c r="M21" s="11" t="s">
        <v>103</v>
      </c>
    </row>
    <row r="22" customFormat="false" ht="15" hidden="false" customHeight="false" outlineLevel="0" collapsed="false">
      <c r="A22" s="11" t="s">
        <v>104</v>
      </c>
      <c r="B22" s="11" t="s">
        <v>73</v>
      </c>
      <c r="C22" s="6" t="n">
        <v>0</v>
      </c>
      <c r="D22" s="6" t="n">
        <v>1</v>
      </c>
      <c r="E22" s="6" t="n">
        <v>1</v>
      </c>
      <c r="F22" s="6" t="n">
        <v>10</v>
      </c>
      <c r="G22" s="6" t="n">
        <v>3</v>
      </c>
      <c r="H22" s="6" t="n">
        <v>0</v>
      </c>
      <c r="I22" s="6" t="n">
        <v>0</v>
      </c>
      <c r="J22" s="6" t="n">
        <v>13</v>
      </c>
      <c r="K22" s="6" t="n">
        <v>0</v>
      </c>
      <c r="L22" s="6" t="n">
        <v>0</v>
      </c>
      <c r="M22" s="11" t="s">
        <v>105</v>
      </c>
    </row>
    <row r="23" customFormat="false" ht="15" hidden="false" customHeight="false" outlineLevel="0" collapsed="false">
      <c r="A23" s="11" t="s">
        <v>106</v>
      </c>
      <c r="B23" s="11" t="s">
        <v>76</v>
      </c>
      <c r="C23" s="6" t="n">
        <v>0</v>
      </c>
      <c r="D23" s="6" t="n">
        <v>45</v>
      </c>
      <c r="E23" s="6" t="n">
        <v>0</v>
      </c>
      <c r="F23" s="6" t="n">
        <v>4</v>
      </c>
      <c r="G23" s="6" t="n">
        <v>0</v>
      </c>
      <c r="H23" s="6" t="n">
        <v>0</v>
      </c>
      <c r="I23" s="6" t="n">
        <v>0</v>
      </c>
      <c r="J23" s="6" t="n">
        <v>3</v>
      </c>
      <c r="K23" s="6" t="n">
        <v>1</v>
      </c>
      <c r="L23" s="6" t="n">
        <v>15</v>
      </c>
      <c r="M23" s="11" t="s">
        <v>107</v>
      </c>
    </row>
    <row r="24" customFormat="false" ht="15" hidden="false" customHeight="false" outlineLevel="0" collapsed="false">
      <c r="A24" s="11" t="s">
        <v>108</v>
      </c>
      <c r="B24" s="11" t="s">
        <v>79</v>
      </c>
      <c r="C24" s="6" t="n">
        <v>0</v>
      </c>
      <c r="D24" s="6" t="n">
        <v>0</v>
      </c>
      <c r="E24" s="6" t="n">
        <v>0</v>
      </c>
      <c r="F24" s="6" t="n">
        <v>4</v>
      </c>
      <c r="G24" s="6" t="n">
        <v>0</v>
      </c>
      <c r="H24" s="6" t="n">
        <v>0</v>
      </c>
      <c r="I24" s="6" t="n">
        <v>0</v>
      </c>
      <c r="J24" s="6" t="n">
        <v>3</v>
      </c>
      <c r="K24" s="6" t="n">
        <v>4</v>
      </c>
      <c r="L24" s="6" t="n">
        <v>18</v>
      </c>
      <c r="M24" s="11" t="s">
        <v>109</v>
      </c>
    </row>
    <row r="25" customFormat="false" ht="15" hidden="false" customHeight="false" outlineLevel="0" collapsed="false">
      <c r="A25" s="11" t="s">
        <v>110</v>
      </c>
      <c r="B25" s="11" t="s">
        <v>82</v>
      </c>
      <c r="C25" s="6" t="n">
        <v>0</v>
      </c>
      <c r="D25" s="6" t="n">
        <v>0</v>
      </c>
      <c r="E25" s="6" t="n">
        <v>0</v>
      </c>
      <c r="F25" s="6" t="n">
        <v>8</v>
      </c>
      <c r="G25" s="6" t="n">
        <v>0</v>
      </c>
      <c r="H25" s="6" t="n">
        <v>0</v>
      </c>
      <c r="I25" s="6" t="n">
        <v>0</v>
      </c>
      <c r="J25" s="6" t="n">
        <v>7</v>
      </c>
      <c r="K25" s="6" t="n">
        <v>17</v>
      </c>
      <c r="L25" s="6" t="n">
        <v>0</v>
      </c>
      <c r="M25" s="11" t="s">
        <v>111</v>
      </c>
    </row>
    <row r="26" customFormat="false" ht="15" hidden="false" customHeight="false" outlineLevel="0" collapsed="false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</row>
    <row r="27" customFormat="false" ht="15" hidden="false" customHeight="false" outlineLevel="0" collapsed="false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</row>
    <row r="28" customFormat="false" ht="15" hidden="false" customHeight="false" outlineLevel="0" collapsed="false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</row>
    <row r="29" customFormat="false" ht="15" hidden="false" customHeight="false" outlineLevel="0" collapsed="false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</row>
    <row r="30" customFormat="false" ht="15" hidden="false" customHeight="false" outlineLevel="0" collapsed="false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</row>
    <row r="31" customFormat="false" ht="15" hidden="false" customHeight="false" outlineLevel="0" collapsed="false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</row>
    <row r="32" customFormat="false" ht="15" hidden="false" customHeight="false" outlineLevel="0" collapsed="false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</row>
    <row r="33" customFormat="false" ht="15" hidden="false" customHeight="false" outlineLevel="0" collapsed="false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</row>
    <row r="34" customFormat="false" ht="15" hidden="false" customHeight="false" outlineLevel="0" collapsed="false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</row>
    <row r="35" customFormat="false" ht="15" hidden="false" customHeight="false" outlineLevel="0" collapsed="false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</row>
    <row r="36" customFormat="false" ht="15" hidden="false" customHeight="false" outlineLevel="0" collapsed="false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</row>
    <row r="37" customFormat="false" ht="15" hidden="false" customHeight="false" outlineLevel="0" collapsed="false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</row>
    <row r="38" customFormat="false" ht="15" hidden="false" customHeight="false" outlineLevel="0" collapsed="false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</row>
    <row r="39" customFormat="false" ht="15" hidden="false" customHeight="false" outlineLevel="0" collapsed="false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</row>
    <row r="40" customFormat="false" ht="15" hidden="false" customHeight="false" outlineLevel="0" collapsed="false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</row>
    <row r="41" customFormat="false" ht="15" hidden="false" customHeight="false" outlineLevel="0" collapsed="false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</row>
    <row r="42" customFormat="false" ht="15" hidden="false" customHeight="false" outlineLevel="0" collapsed="false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</row>
    <row r="43" customFormat="false" ht="15" hidden="false" customHeight="false" outlineLevel="0" collapsed="false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</row>
    <row r="44" customFormat="false" ht="15" hidden="false" customHeight="false" outlineLevel="0" collapsed="false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</row>
    <row r="45" customFormat="false" ht="15" hidden="false" customHeight="false" outlineLevel="0" collapsed="false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</row>
    <row r="46" customFormat="false" ht="15" hidden="false" customHeight="false" outlineLevel="0" collapsed="false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</row>
    <row r="47" customFormat="false" ht="15" hidden="false" customHeight="false" outlineLevel="0" collapsed="false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</row>
    <row r="48" customFormat="false" ht="15" hidden="false" customHeight="false" outlineLevel="0" collapsed="false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</row>
    <row r="49" customFormat="false" ht="15" hidden="false" customHeight="false" outlineLevel="0" collapsed="false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</row>
    <row r="50" customFormat="false" ht="15" hidden="false" customHeight="false" outlineLevel="0" collapsed="false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</row>
    <row r="51" customFormat="false" ht="15" hidden="false" customHeight="false" outlineLevel="0" collapsed="false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</row>
    <row r="52" customFormat="false" ht="15" hidden="false" customHeight="false" outlineLevel="0" collapsed="false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0"/>
    <col collapsed="false" customWidth="true" hidden="false" outlineLevel="0" max="3" min="3" style="0" width="16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60"/>
  </cols>
  <sheetData>
    <row r="1" customFormat="false" ht="18.5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9" t="s">
        <v>114</v>
      </c>
      <c r="D4" s="9" t="s">
        <v>115</v>
      </c>
    </row>
    <row r="5" customFormat="false" ht="15" hidden="false" customHeight="false" outlineLevel="0" collapsed="false">
      <c r="A5" s="3" t="s">
        <v>116</v>
      </c>
      <c r="B5" s="3" t="s">
        <v>117</v>
      </c>
      <c r="D5" s="3" t="s">
        <v>118</v>
      </c>
      <c r="E5" s="3" t="s">
        <v>116</v>
      </c>
      <c r="F5" s="3" t="s">
        <v>117</v>
      </c>
      <c r="G5" s="3" t="s">
        <v>119</v>
      </c>
    </row>
    <row r="6" customFormat="false" ht="15" hidden="false" customHeight="false" outlineLevel="0" collapsed="false">
      <c r="A6" s="6" t="s">
        <v>120</v>
      </c>
      <c r="B6" s="6" t="n">
        <v>300</v>
      </c>
      <c r="D6" s="11" t="s">
        <v>121</v>
      </c>
      <c r="E6" s="6" t="s">
        <v>122</v>
      </c>
      <c r="F6" s="6" t="n">
        <v>5</v>
      </c>
      <c r="G6" s="6" t="s">
        <v>123</v>
      </c>
    </row>
    <row r="7" customFormat="false" ht="15" hidden="false" customHeight="false" outlineLevel="0" collapsed="false">
      <c r="A7" s="6" t="s">
        <v>124</v>
      </c>
      <c r="B7" s="6" t="n">
        <v>100</v>
      </c>
      <c r="D7" s="11" t="s">
        <v>125</v>
      </c>
      <c r="E7" s="6" t="s">
        <v>122</v>
      </c>
      <c r="F7" s="6" t="n">
        <v>5</v>
      </c>
      <c r="G7" s="6" t="s">
        <v>126</v>
      </c>
    </row>
    <row r="8" customFormat="false" ht="15" hidden="false" customHeight="false" outlineLevel="0" collapsed="false">
      <c r="A8" s="6" t="s">
        <v>127</v>
      </c>
      <c r="B8" s="6" t="n">
        <v>75</v>
      </c>
      <c r="D8" s="11" t="s">
        <v>128</v>
      </c>
      <c r="E8" s="6" t="s">
        <v>129</v>
      </c>
      <c r="F8" s="6" t="n">
        <v>2</v>
      </c>
      <c r="G8" s="6" t="s">
        <v>123</v>
      </c>
    </row>
    <row r="9" customFormat="false" ht="15" hidden="false" customHeight="false" outlineLevel="0" collapsed="false">
      <c r="A9" s="6" t="s">
        <v>130</v>
      </c>
      <c r="B9" s="6" t="n">
        <v>40</v>
      </c>
      <c r="D9" s="11" t="s">
        <v>131</v>
      </c>
      <c r="E9" s="6" t="s">
        <v>132</v>
      </c>
      <c r="F9" s="6" t="n">
        <v>1</v>
      </c>
      <c r="G9" s="6" t="s">
        <v>123</v>
      </c>
    </row>
    <row r="10" customFormat="false" ht="15" hidden="false" customHeight="false" outlineLevel="0" collapsed="false">
      <c r="A10" s="6" t="s">
        <v>133</v>
      </c>
      <c r="B10" s="6" t="n">
        <v>20</v>
      </c>
      <c r="D10" s="11" t="s">
        <v>134</v>
      </c>
      <c r="E10" s="6" t="s">
        <v>132</v>
      </c>
      <c r="F10" s="6" t="n">
        <v>1</v>
      </c>
      <c r="G10" s="6" t="s">
        <v>123</v>
      </c>
    </row>
    <row r="11" customFormat="false" ht="15" hidden="false" customHeight="false" outlineLevel="0" collapsed="false">
      <c r="A11" s="6" t="s">
        <v>122</v>
      </c>
      <c r="B11" s="6" t="n">
        <v>5</v>
      </c>
      <c r="D11" s="4" t="s">
        <v>135</v>
      </c>
      <c r="E11" s="8"/>
      <c r="F11" s="4" t="n">
        <f aca="false">SUM(F6:F10)</f>
        <v>14</v>
      </c>
      <c r="G11" s="8"/>
    </row>
    <row r="12" customFormat="false" ht="15" hidden="false" customHeight="false" outlineLevel="0" collapsed="false">
      <c r="A12" s="6" t="s">
        <v>129</v>
      </c>
      <c r="B12" s="6" t="n">
        <v>2</v>
      </c>
    </row>
    <row r="13" customFormat="false" ht="15" hidden="false" customHeight="false" outlineLevel="0" collapsed="false">
      <c r="A13" s="6" t="s">
        <v>132</v>
      </c>
      <c r="B13" s="6" t="n">
        <v>1</v>
      </c>
    </row>
    <row r="16" customFormat="false" ht="15" hidden="false" customHeight="false" outlineLevel="0" collapsed="false">
      <c r="A16" s="9" t="s">
        <v>136</v>
      </c>
    </row>
    <row r="17" customFormat="false" ht="15" hidden="false" customHeight="false" outlineLevel="0" collapsed="false">
      <c r="A17" s="3" t="s">
        <v>137</v>
      </c>
      <c r="B17" s="3" t="s">
        <v>60</v>
      </c>
      <c r="C17" s="3" t="s">
        <v>138</v>
      </c>
      <c r="D17" s="3" t="s">
        <v>139</v>
      </c>
      <c r="E17" s="3" t="s">
        <v>3</v>
      </c>
      <c r="F17" s="3" t="s">
        <v>62</v>
      </c>
    </row>
    <row r="18" customFormat="false" ht="15" hidden="false" customHeight="false" outlineLevel="0" collapsed="false">
      <c r="A18" s="11" t="s">
        <v>140</v>
      </c>
      <c r="B18" s="6" t="s">
        <v>141</v>
      </c>
      <c r="C18" s="6" t="n">
        <v>0</v>
      </c>
      <c r="D18" s="6" t="n">
        <v>0</v>
      </c>
      <c r="E18" s="6" t="n">
        <v>0</v>
      </c>
      <c r="F18" s="11" t="s">
        <v>142</v>
      </c>
    </row>
    <row r="19" customFormat="false" ht="15" hidden="false" customHeight="false" outlineLevel="0" collapsed="false">
      <c r="A19" s="11" t="s">
        <v>143</v>
      </c>
      <c r="B19" s="6" t="s">
        <v>144</v>
      </c>
      <c r="C19" s="6" t="n">
        <v>0</v>
      </c>
      <c r="D19" s="6" t="n">
        <v>0</v>
      </c>
      <c r="E19" s="6" t="n">
        <v>0</v>
      </c>
      <c r="F19" s="11" t="s">
        <v>142</v>
      </c>
    </row>
    <row r="20" customFormat="false" ht="15" hidden="false" customHeight="false" outlineLevel="0" collapsed="false">
      <c r="A20" s="11" t="s">
        <v>145</v>
      </c>
      <c r="B20" s="6" t="s">
        <v>146</v>
      </c>
      <c r="C20" s="6" t="n">
        <v>1</v>
      </c>
      <c r="D20" s="6" t="n">
        <v>0</v>
      </c>
      <c r="E20" s="6" t="n">
        <v>1</v>
      </c>
      <c r="F20" s="11" t="s">
        <v>147</v>
      </c>
    </row>
    <row r="21" customFormat="false" ht="15" hidden="false" customHeight="false" outlineLevel="0" collapsed="false">
      <c r="A21" s="11" t="s">
        <v>148</v>
      </c>
      <c r="B21" s="6" t="s">
        <v>149</v>
      </c>
      <c r="C21" s="6" t="n">
        <v>20</v>
      </c>
      <c r="D21" s="6" t="n">
        <v>0</v>
      </c>
      <c r="E21" s="6" t="n">
        <v>20</v>
      </c>
      <c r="F21" s="11" t="s">
        <v>150</v>
      </c>
    </row>
    <row r="22" customFormat="false" ht="15" hidden="false" customHeight="false" outlineLevel="0" collapsed="false">
      <c r="A22" s="11" t="s">
        <v>151</v>
      </c>
      <c r="B22" s="6" t="s">
        <v>152</v>
      </c>
      <c r="C22" s="6" t="n">
        <v>9</v>
      </c>
      <c r="D22" s="6" t="n">
        <v>5</v>
      </c>
      <c r="E22" s="6" t="n">
        <v>14</v>
      </c>
      <c r="F22" s="11" t="s">
        <v>153</v>
      </c>
    </row>
    <row r="23" customFormat="false" ht="15" hidden="false" customHeight="false" outlineLevel="0" collapsed="false">
      <c r="A23" s="11" t="s">
        <v>154</v>
      </c>
      <c r="B23" s="6"/>
      <c r="C23" s="6" t="n">
        <f aca="false">SUM(C18:C22)</f>
        <v>30</v>
      </c>
      <c r="D23" s="6" t="n">
        <f aca="false">SUM(D18:D22)</f>
        <v>5</v>
      </c>
      <c r="E23" s="6" t="n">
        <f aca="false">SUM(E18:E22)</f>
        <v>35</v>
      </c>
      <c r="F23" s="11" t="s">
        <v>155</v>
      </c>
    </row>
    <row r="25" customFormat="false" ht="15" hidden="false" customHeight="false" outlineLevel="0" collapsed="false">
      <c r="A25" s="9" t="s">
        <v>156</v>
      </c>
    </row>
    <row r="26" customFormat="false" ht="15" hidden="false" customHeight="false" outlineLevel="0" collapsed="false">
      <c r="A26" s="10" t="s">
        <v>157</v>
      </c>
    </row>
    <row r="27" customFormat="false" ht="15" hidden="false" customHeight="false" outlineLevel="0" collapsed="false">
      <c r="A27" s="10" t="s">
        <v>158</v>
      </c>
    </row>
    <row r="28" customFormat="false" ht="15" hidden="false" customHeight="false" outlineLevel="0" collapsed="false">
      <c r="A28" s="10" t="s">
        <v>159</v>
      </c>
    </row>
    <row r="29" customFormat="false" ht="15" hidden="false" customHeight="false" outlineLevel="0" collapsed="false">
      <c r="A29" s="10" t="s">
        <v>160</v>
      </c>
    </row>
    <row r="30" customFormat="false" ht="15" hidden="false" customHeight="false" outlineLevel="0" collapsed="false">
      <c r="A30" s="10" t="s">
        <v>161</v>
      </c>
    </row>
    <row r="33" customFormat="false" ht="15" hidden="false" customHeight="false" outlineLevel="0" collapsed="false">
      <c r="A33" s="9" t="s">
        <v>162</v>
      </c>
    </row>
    <row r="34" customFormat="false" ht="15" hidden="false" customHeight="false" outlineLevel="0" collapsed="false">
      <c r="A34" s="10" t="s">
        <v>163</v>
      </c>
    </row>
    <row r="35" customFormat="false" ht="15" hidden="false" customHeight="false" outlineLevel="0" collapsed="false">
      <c r="A35" s="10" t="s">
        <v>164</v>
      </c>
    </row>
    <row r="36" customFormat="false" ht="15" hidden="false" customHeight="false" outlineLevel="0" collapsed="false">
      <c r="A36" s="10"/>
    </row>
    <row r="37" customFormat="false" ht="15" hidden="false" customHeight="false" outlineLevel="0" collapsed="false">
      <c r="A37" s="10" t="s">
        <v>165</v>
      </c>
    </row>
    <row r="38" customFormat="false" ht="15" hidden="false" customHeight="false" outlineLevel="0" collapsed="false">
      <c r="A38" s="10" t="s">
        <v>166</v>
      </c>
    </row>
    <row r="39" customFormat="false" ht="15" hidden="false" customHeight="false" outlineLevel="0" collapsed="false">
      <c r="A39" s="10" t="s">
        <v>167</v>
      </c>
    </row>
    <row r="40" customFormat="false" ht="15" hidden="false" customHeight="false" outlineLevel="0" collapsed="false">
      <c r="A40" s="10"/>
    </row>
    <row r="41" customFormat="false" ht="15" hidden="false" customHeight="false" outlineLevel="0" collapsed="false">
      <c r="A41" s="10" t="s">
        <v>168</v>
      </c>
    </row>
    <row r="42" customFormat="false" ht="15" hidden="false" customHeight="false" outlineLevel="0" collapsed="false">
      <c r="A42" s="10" t="s">
        <v>169</v>
      </c>
    </row>
    <row r="43" customFormat="false" ht="15" hidden="false" customHeight="false" outlineLevel="0" collapsed="false">
      <c r="A43" s="10" t="s">
        <v>170</v>
      </c>
    </row>
    <row r="44" customFormat="false" ht="15" hidden="false" customHeight="false" outlineLevel="0" collapsed="false">
      <c r="A44" s="10"/>
    </row>
    <row r="45" customFormat="false" ht="15" hidden="false" customHeight="false" outlineLevel="0" collapsed="false">
      <c r="A45" s="10" t="s">
        <v>171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2026-08-10T13:34:08Z</dcterms:created>
  <dc:creator>openpyxl</dc:creator>
  <dc:description/>
  <dc:language>en-US</dc:language>
  <cp:lastModifiedBy/>
  <dcterms:modified xsi:type="dcterms:W3CDTF">2026-08-24T01:38:45Z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