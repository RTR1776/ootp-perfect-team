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<sst xmlns="http://schemas.openxmlformats.org/spreadsheetml/2006/main" count="247" uniqueCount="196">
  <si>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</si>
  <si>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</si>
  <si>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</si>
  <si>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</si>
  <si>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</si>
  <si>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</si>
  <si>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</si>
  <si>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</si>
  <si>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</si>
  <si>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</si>
  <si>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</si>
  <si>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</si>
  <si>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</si>
  <si>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</si>
  <si>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</si>
  <si>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</si>
  <si>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</si>
  <si>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</si>
  <si>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</si>
  <si>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</si>
  <si>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</si>
  <si>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</si>
  <si>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</si>
  <si>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</si>
  <si>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</si>
  <si>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</si>
  <si>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</si>
  <si>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</si>
  <si>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</si>
  <si>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</si>
  <si>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</si>
  <si>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</si>
  <si>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</si>
  <si>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</si>
  <si>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</si>
  <si>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</si>
  <si>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</si>
  <si>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</si>
  <si>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</si>
  <si>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</si>
  <si>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</si>
  <si>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</si>
  <si>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</si>
  <si>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</si>
  <si>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</si>
  <si>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</si>
  <si>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</si>
  <si>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</si>
  <si>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</si>
  <si>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</si>
  <si>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</si>
  <si>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</si>
  <si>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</si>
  <si>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</si>
  <si>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</si>
  <si>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</si>
  <si>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</si>
  <si>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</si>
  <si>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</si>
  <si>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</si>
  <si>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</si>
  <si>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</si>
  <si>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</si>
  <si>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</si>
  <si>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</si>
  <si>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</si>
  <si>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</si>
  <si>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</si>
  <si>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</si>
  <si>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</si>
  <si>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</si>
  <si>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</si>
  <si>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</si>
  <si>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</si>
  <si>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</si>
  <si>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</si>
  <si>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</si>
  <si>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</si>
  <si>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</si>
  <si>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</si>
  <si>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</si>
  <si>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</si>
  <si>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</si>
  <si>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</si>
  <si>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</si>
  <si>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</si>
  <si>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</si>
  <si>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</si>
  <si>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</si>
  <si>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</si>
  <si>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</si>
  <si>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</si>
  <si>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</si>
  <si>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</si>
  <si>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</si>
  <si>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</si>
  <si>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</si>
  <si>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</si>
  <si>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</si>
  <si>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</si>
  <si>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</si>
  <si>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</si>
  <si>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</si>
  <si>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</si>
  <si>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</si>
  <si>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</si>
  <si>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</si>
  <si>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</si>
  <si>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</si>
  <si>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</si>
  <si>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</si>
  <si>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</si>
  <si>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</si>
  <si>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</si>
  <si>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</si>
  <si>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</si>
  <si>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</si>
  <si>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</si>
  <si>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</si>
  <si>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</si>
  <si>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</si>
  <si>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</si>
  <si>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</si>
  <si>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</si>
  <si>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</si>
  <si>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</si>
  <si>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</si>
  <si>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</si>
  <si>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</si>
  <si>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</si>
  <si>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</si>
  <si>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</si>
  <si>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</si>
  <si>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</si>
  <si>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Fri Sep 4</t>
  </si>
  <si>
    <t xml:space="preserve">BRONZE 1910-59 WINNER (64) +25 BRONZE - first win since the Aug 28 Golden Heart, and it carries Bronze past target (152/133). SILVER ONLY CAP 3rd/4th (64) +10 SILVER/+10 CAP. Low Diamond 9-16 (64) +3 D; All-Silver 9-16 (64) +3 PDD. ZEROS: 5L Deadball 65-128 (128); Low Silver Only 33-64 (64). Partial day - logged 6pm then amended 9pm Central. NOTE: Silver Only Cap came through as run 1250174 where the daily-increment model expects 1250173 for Sep 4 (slot 125 was renamed in the Sep refresh); the game's own Today label and Low Silver Only 1970003 (+1 on Sep 3's 1970002) both put it on Sep 4, so it is filed here.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</si>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</sst>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152</v>
      </c>
      <c r="C6" s="7" t="n">
        <v>133</v>
      </c>
      <c r="D6" s="7" t="n">
        <f aca="false">MAX(0,C6-B6)</f>
        <v>0</v>
      </c>
      <c r="E6" s="7" t="n">
        <f aca="false">ROUND(D6/5,1)</f>
        <v>0</v>
      </c>
      <c r="F6" s="7" t="n">
        <f aca="false">ROUND(D6/35,1)</f>
        <v>0</v>
      </c>
      <c r="G6" s="8" t="s">
        <v>11</v>
      </c>
      <c r="H6" s="9" t="str">
        <f aca="false">IF(B6&gt;=C6,"QUALIFIED","+"&amp;TEXT(D6,"0")&amp;" to go")</f>
        <v>QUALIFIED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164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146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125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15</v>
      </c>
      <c r="C10" s="7" t="n">
        <v>120</v>
      </c>
      <c r="D10" s="7" t="n">
        <f aca="false">MAX(0,C10-B10)</f>
        <v>105</v>
      </c>
      <c r="E10" s="7" t="n">
        <f aca="false">ROUND(D10/5,1)</f>
        <v>21</v>
      </c>
      <c r="F10" s="7" t="n">
        <f aca="false">ROUND(D10/35,1)</f>
        <v>3</v>
      </c>
      <c r="G10" s="8" t="s">
        <v>20</v>
      </c>
      <c r="H10" s="9" t="str">
        <f aca="false">IF(B10&gt;=C10,"QUALIFIED","+"&amp;TEXT(D10,"0")&amp;" to go")</f>
        <v>+105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175</v>
      </c>
      <c r="D11" s="7" t="n">
        <f aca="false">MAX(0,C11-B11)</f>
        <v>163</v>
      </c>
      <c r="E11" s="7" t="n">
        <f aca="false">ROUND(D11/5,1)</f>
        <v>32.6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+163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196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300</v>
      </c>
      <c r="C13" s="7" t="n">
        <v>347</v>
      </c>
      <c r="D13" s="7" t="n">
        <f aca="false">MAX(0,C13-B13)</f>
        <v>47</v>
      </c>
      <c r="E13" s="7" t="n">
        <f aca="false">ROUND(D13/5,1)</f>
        <v>9.4</v>
      </c>
      <c r="F13" s="7" t="n">
        <f aca="false">ROUND(D13/35,1)</f>
        <v>1.3</v>
      </c>
      <c r="G13" s="8" t="s">
        <v>26</v>
      </c>
      <c r="H13" s="9" t="str">
        <f aca="false">IF(B13&gt;=C13,"QUALIFIED","+"&amp;TEXT(D13,"0")&amp;" to go")</f>
        <v>+47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0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12" t="s">
        <v>134</v>
      </c>
      <c r="B37" s="12" t="s">
        <v>76</v>
      </c>
      <c r="C37" s="7" t="n">
        <v>0</v>
      </c>
      <c r="D37" s="7" t="n">
        <v>25</v>
      </c>
      <c r="E37" s="7" t="n">
        <v>10</v>
      </c>
      <c r="F37" s="7" t="n">
        <v>0</v>
      </c>
      <c r="G37" s="7" t="n">
        <v>3</v>
      </c>
      <c r="H37" s="7" t="n">
        <v>0</v>
      </c>
      <c r="I37" s="7" t="n">
        <v>0</v>
      </c>
      <c r="J37" s="7" t="n">
        <v>10</v>
      </c>
      <c r="K37" s="7" t="n">
        <v>3</v>
      </c>
      <c r="L37" s="7" t="n">
        <v>0</v>
      </c>
      <c r="M37" s="12" t="s">
        <v>135</v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136</v>
      </c>
    </row>
    <row r="2" customFormat="false" ht="15" hidden="false" customHeight="true" outlineLevel="0" collapsed="false">
      <c r="A2" s="3" t="s">
        <v>137</v>
      </c>
    </row>
    <row r="4" customFormat="false" ht="15" hidden="false" customHeight="true" outlineLevel="0" collapsed="false">
      <c r="A4" s="10" t="s">
        <v>138</v>
      </c>
      <c r="D4" s="10" t="s">
        <v>139</v>
      </c>
    </row>
    <row r="5" customFormat="false" ht="15" hidden="false" customHeight="true" outlineLevel="0" collapsed="false">
      <c r="A5" s="4" t="s">
        <v>140</v>
      </c>
      <c r="B5" s="4" t="s">
        <v>141</v>
      </c>
      <c r="D5" s="4" t="s">
        <v>142</v>
      </c>
      <c r="E5" s="4" t="s">
        <v>140</v>
      </c>
      <c r="F5" s="4" t="s">
        <v>141</v>
      </c>
      <c r="G5" s="4" t="s">
        <v>143</v>
      </c>
    </row>
    <row r="6" customFormat="false" ht="15" hidden="false" customHeight="true" outlineLevel="0" collapsed="false">
      <c r="A6" s="7" t="s">
        <v>144</v>
      </c>
      <c r="B6" s="7" t="n">
        <v>300</v>
      </c>
      <c r="D6" s="12" t="s">
        <v>145</v>
      </c>
      <c r="E6" s="7" t="s">
        <v>146</v>
      </c>
      <c r="F6" s="7" t="n">
        <v>5</v>
      </c>
      <c r="G6" s="7" t="s">
        <v>147</v>
      </c>
    </row>
    <row r="7" customFormat="false" ht="15" hidden="false" customHeight="true" outlineLevel="0" collapsed="false">
      <c r="A7" s="7" t="s">
        <v>148</v>
      </c>
      <c r="B7" s="7" t="n">
        <v>100</v>
      </c>
      <c r="D7" s="12" t="s">
        <v>149</v>
      </c>
      <c r="E7" s="7" t="s">
        <v>146</v>
      </c>
      <c r="F7" s="7" t="n">
        <v>5</v>
      </c>
      <c r="G7" s="7" t="s">
        <v>150</v>
      </c>
    </row>
    <row r="8" customFormat="false" ht="15" hidden="false" customHeight="true" outlineLevel="0" collapsed="false">
      <c r="A8" s="7" t="s">
        <v>151</v>
      </c>
      <c r="B8" s="7" t="n">
        <v>75</v>
      </c>
      <c r="D8" s="12" t="s">
        <v>152</v>
      </c>
      <c r="E8" s="7" t="s">
        <v>153</v>
      </c>
      <c r="F8" s="7" t="n">
        <v>2</v>
      </c>
      <c r="G8" s="7" t="s">
        <v>147</v>
      </c>
    </row>
    <row r="9" customFormat="false" ht="15" hidden="false" customHeight="true" outlineLevel="0" collapsed="false">
      <c r="A9" s="7" t="s">
        <v>154</v>
      </c>
      <c r="B9" s="7" t="n">
        <v>40</v>
      </c>
      <c r="D9" s="12" t="s">
        <v>155</v>
      </c>
      <c r="E9" s="7" t="s">
        <v>156</v>
      </c>
      <c r="F9" s="7" t="n">
        <v>1</v>
      </c>
      <c r="G9" s="7" t="s">
        <v>147</v>
      </c>
    </row>
    <row r="10" customFormat="false" ht="15" hidden="false" customHeight="true" outlineLevel="0" collapsed="false">
      <c r="A10" s="7" t="s">
        <v>157</v>
      </c>
      <c r="B10" s="7" t="n">
        <v>20</v>
      </c>
      <c r="D10" s="12" t="s">
        <v>158</v>
      </c>
      <c r="E10" s="7" t="s">
        <v>156</v>
      </c>
      <c r="F10" s="7" t="n">
        <v>1</v>
      </c>
      <c r="G10" s="7" t="s">
        <v>147</v>
      </c>
    </row>
    <row r="11" customFormat="false" ht="15" hidden="false" customHeight="true" outlineLevel="0" collapsed="false">
      <c r="A11" s="7" t="s">
        <v>146</v>
      </c>
      <c r="B11" s="7" t="n">
        <v>5</v>
      </c>
      <c r="D11" s="5" t="s">
        <v>159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153</v>
      </c>
      <c r="B12" s="7" t="n">
        <v>2</v>
      </c>
    </row>
    <row r="13" customFormat="false" ht="15" hidden="false" customHeight="true" outlineLevel="0" collapsed="false">
      <c r="A13" s="7" t="s">
        <v>156</v>
      </c>
      <c r="B13" s="7" t="n">
        <v>1</v>
      </c>
    </row>
    <row r="16" customFormat="false" ht="15" hidden="false" customHeight="true" outlineLevel="0" collapsed="false">
      <c r="A16" s="10" t="s">
        <v>160</v>
      </c>
    </row>
    <row r="17" customFormat="false" ht="15" hidden="false" customHeight="true" outlineLevel="0" collapsed="false">
      <c r="A17" s="4" t="s">
        <v>161</v>
      </c>
      <c r="B17" s="4" t="s">
        <v>60</v>
      </c>
      <c r="C17" s="4" t="s">
        <v>162</v>
      </c>
      <c r="D17" s="4" t="s">
        <v>163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164</v>
      </c>
      <c r="B18" s="7" t="s">
        <v>165</v>
      </c>
      <c r="C18" s="7" t="n">
        <v>0</v>
      </c>
      <c r="D18" s="7" t="n">
        <v>0</v>
      </c>
      <c r="E18" s="7" t="n">
        <v>0</v>
      </c>
      <c r="F18" s="12" t="s">
        <v>166</v>
      </c>
    </row>
    <row r="19" customFormat="false" ht="15" hidden="false" customHeight="true" outlineLevel="0" collapsed="false">
      <c r="A19" s="12" t="s">
        <v>167</v>
      </c>
      <c r="B19" s="7" t="s">
        <v>168</v>
      </c>
      <c r="C19" s="7" t="n">
        <v>0</v>
      </c>
      <c r="D19" s="7" t="n">
        <v>0</v>
      </c>
      <c r="E19" s="7" t="n">
        <v>0</v>
      </c>
      <c r="F19" s="12" t="s">
        <v>166</v>
      </c>
    </row>
    <row r="20" customFormat="false" ht="15" hidden="false" customHeight="true" outlineLevel="0" collapsed="false">
      <c r="A20" s="12" t="s">
        <v>169</v>
      </c>
      <c r="B20" s="7" t="s">
        <v>170</v>
      </c>
      <c r="C20" s="7" t="n">
        <v>1</v>
      </c>
      <c r="D20" s="7" t="n">
        <v>0</v>
      </c>
      <c r="E20" s="7" t="n">
        <v>1</v>
      </c>
      <c r="F20" s="12" t="s">
        <v>171</v>
      </c>
    </row>
    <row r="21" customFormat="false" ht="15" hidden="false" customHeight="true" outlineLevel="0" collapsed="false">
      <c r="A21" s="12" t="s">
        <v>172</v>
      </c>
      <c r="B21" s="7" t="s">
        <v>173</v>
      </c>
      <c r="C21" s="7" t="n">
        <v>20</v>
      </c>
      <c r="D21" s="7" t="n">
        <v>0</v>
      </c>
      <c r="E21" s="7" t="n">
        <v>20</v>
      </c>
      <c r="F21" s="12" t="s">
        <v>174</v>
      </c>
    </row>
    <row r="22" customFormat="false" ht="15" hidden="false" customHeight="true" outlineLevel="0" collapsed="false">
      <c r="A22" s="12" t="s">
        <v>175</v>
      </c>
      <c r="B22" s="7" t="s">
        <v>176</v>
      </c>
      <c r="C22" s="7" t="n">
        <v>9</v>
      </c>
      <c r="D22" s="7" t="n">
        <v>5</v>
      </c>
      <c r="E22" s="7" t="n">
        <v>14</v>
      </c>
      <c r="F22" s="12" t="s">
        <v>177</v>
      </c>
    </row>
    <row r="23" customFormat="false" ht="15" hidden="false" customHeight="true" outlineLevel="0" collapsed="false">
      <c r="A23" s="12" t="s">
        <v>178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179</v>
      </c>
    </row>
    <row r="25" customFormat="false" ht="15" hidden="false" customHeight="true" outlineLevel="0" collapsed="false">
      <c r="A25" s="10" t="s">
        <v>180</v>
      </c>
    </row>
    <row r="26" customFormat="false" ht="15" hidden="false" customHeight="true" outlineLevel="0" collapsed="false">
      <c r="A26" s="11" t="s">
        <v>181</v>
      </c>
    </row>
    <row r="27" customFormat="false" ht="15" hidden="false" customHeight="true" outlineLevel="0" collapsed="false">
      <c r="A27" s="11" t="s">
        <v>182</v>
      </c>
    </row>
    <row r="28" customFormat="false" ht="15" hidden="false" customHeight="true" outlineLevel="0" collapsed="false">
      <c r="A28" s="11" t="s">
        <v>183</v>
      </c>
    </row>
    <row r="29" customFormat="false" ht="15" hidden="false" customHeight="true" outlineLevel="0" collapsed="false">
      <c r="A29" s="11" t="s">
        <v>184</v>
      </c>
    </row>
    <row r="30" customFormat="false" ht="15" hidden="false" customHeight="true" outlineLevel="0" collapsed="false">
      <c r="A30" s="11" t="s">
        <v>185</v>
      </c>
    </row>
    <row r="33" customFormat="false" ht="15" hidden="false" customHeight="true" outlineLevel="0" collapsed="false">
      <c r="A33" s="10" t="s">
        <v>186</v>
      </c>
    </row>
    <row r="34" customFormat="false" ht="15" hidden="false" customHeight="true" outlineLevel="0" collapsed="false">
      <c r="A34" s="11" t="s">
        <v>187</v>
      </c>
    </row>
    <row r="35" customFormat="false" ht="15" hidden="false" customHeight="true" outlineLevel="0" collapsed="false">
      <c r="A35" s="11" t="s">
        <v>188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189</v>
      </c>
    </row>
    <row r="38" customFormat="false" ht="15" hidden="false" customHeight="true" outlineLevel="0" collapsed="false">
      <c r="A38" s="11" t="s">
        <v>190</v>
      </c>
    </row>
    <row r="39" customFormat="false" ht="15" hidden="false" customHeight="true" outlineLevel="0" collapsed="false">
      <c r="A39" s="11" t="s">
        <v>191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192</v>
      </c>
    </row>
    <row r="42" customFormat="false" ht="15" hidden="false" customHeight="true" outlineLevel="0" collapsed="false">
      <c r="A42" s="11" t="s">
        <v>193</v>
      </c>
    </row>
    <row r="43" customFormat="false" ht="15" hidden="false" customHeight="true" outlineLevel="0" collapsed="false">
      <c r="A43" s="11" t="s">
        <v>194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2026-09-05T01:46:43Z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