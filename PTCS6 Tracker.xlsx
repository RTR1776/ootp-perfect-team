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<sst xmlns="http://schemas.openxmlformats.org/spreadsheetml/2006/main" count="220" uniqueCount="178">
  <si>
    <t xml:space="preserve">PTCS 6 — All 10 Categories (Aug 3 – Sep 6)</t>
  </si>
  <si>
    <t xml:space="preserve">5-week period. Targets = PTCS5 cutoff × 5/4 (estimates — replace with official once week-1 standings post).</t>
  </si>
  <si>
    <t xml:space="preserve">Category</t>
  </si>
  <si>
    <t xml:space="preserve">Total</t>
  </si>
  <si>
    <t xml:space="preserve">Target (est)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</si>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</sst>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135</v>
      </c>
      <c r="D5" s="7" t="n">
        <f aca="false">MAX(0,C5-B5)</f>
        <v>135</v>
      </c>
      <c r="E5" s="7" t="n">
        <f aca="false">ROUND(D5/5,1)</f>
        <v>27</v>
      </c>
      <c r="F5" s="7" t="n">
        <f aca="false">ROUND(D5/35,1)</f>
        <v>3.9</v>
      </c>
      <c r="G5" s="8" t="s">
        <v>11</v>
      </c>
      <c r="H5" s="9" t="str">
        <f aca="false">IF(B5&gt;=C5,"QUALIFIED","+"&amp;TEXT(D5,"0")&amp;" to go")</f>
        <v>+135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111</v>
      </c>
      <c r="C6" s="7" t="n">
        <v>130</v>
      </c>
      <c r="D6" s="7" t="n">
        <f aca="false">MAX(0,C6-B6)</f>
        <v>19</v>
      </c>
      <c r="E6" s="7" t="n">
        <f aca="false">ROUND(D6/5,1)</f>
        <v>3.8</v>
      </c>
      <c r="F6" s="7" t="n">
        <f aca="false">ROUND(D6/35,1)</f>
        <v>0.5</v>
      </c>
      <c r="G6" s="8" t="s">
        <v>11</v>
      </c>
      <c r="H6" s="9" t="str">
        <f aca="false">IF(B6&gt;=C6,"QUALIFIED","+"&amp;TEXT(D6,"0")&amp;" to go")</f>
        <v>+19 to go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87</v>
      </c>
      <c r="C7" s="7" t="n">
        <v>129</v>
      </c>
      <c r="D7" s="7" t="n">
        <f aca="false">MAX(0,C7-B7)</f>
        <v>42</v>
      </c>
      <c r="E7" s="7" t="n">
        <f aca="false">ROUND(D7/5,1)</f>
        <v>8.4</v>
      </c>
      <c r="F7" s="7" t="n">
        <f aca="false">ROUND(D7/35,1)</f>
        <v>1.2</v>
      </c>
      <c r="G7" s="8" t="s">
        <v>14</v>
      </c>
      <c r="H7" s="9" t="str">
        <f aca="false">IF(B7&gt;=C7,"QUALIFIED","+"&amp;TEXT(D7,"0")&amp;" to go")</f>
        <v>+42 to go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78</v>
      </c>
      <c r="C8" s="7" t="n">
        <v>114</v>
      </c>
      <c r="D8" s="7" t="n">
        <f aca="false">MAX(0,C8-B8)</f>
        <v>36</v>
      </c>
      <c r="E8" s="7" t="n">
        <f aca="false">ROUND(D8/5,1)</f>
        <v>7.2</v>
      </c>
      <c r="F8" s="7" t="n">
        <f aca="false">ROUND(D8/35,1)</f>
        <v>1</v>
      </c>
      <c r="G8" s="8" t="s">
        <v>16</v>
      </c>
      <c r="H8" s="9" t="str">
        <f aca="false">IF(B8&gt;=C8,"QUALIFIED","+"&amp;TEXT(D8,"0")&amp;" to go")</f>
        <v>+36 to go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114</v>
      </c>
      <c r="C9" s="7" t="n">
        <v>101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11</v>
      </c>
      <c r="C10" s="7" t="n">
        <v>129</v>
      </c>
      <c r="D10" s="7" t="n">
        <f aca="false">MAX(0,C10-B10)</f>
        <v>118</v>
      </c>
      <c r="E10" s="7" t="n">
        <f aca="false">ROUND(D10/5,1)</f>
        <v>23.6</v>
      </c>
      <c r="F10" s="7" t="n">
        <f aca="false">ROUND(D10/35,1)</f>
        <v>3.4</v>
      </c>
      <c r="G10" s="8" t="s">
        <v>20</v>
      </c>
      <c r="H10" s="9" t="str">
        <f aca="false">IF(B10&gt;=C10,"QUALIFIED","+"&amp;TEXT(D10,"0")&amp;" to go")</f>
        <v>+118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176</v>
      </c>
      <c r="D11" s="7" t="n">
        <f aca="false">MAX(0,C11-B11)</f>
        <v>164</v>
      </c>
      <c r="E11" s="7" t="n">
        <f aca="false">ROUND(D11/5,1)</f>
        <v>32.8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+164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114</v>
      </c>
      <c r="C12" s="7" t="n">
        <v>179</v>
      </c>
      <c r="D12" s="7" t="n">
        <f aca="false">MAX(0,C12-B12)</f>
        <v>65</v>
      </c>
      <c r="E12" s="7" t="n">
        <f aca="false">ROUND(D12/5,1)</f>
        <v>13</v>
      </c>
      <c r="F12" s="7" t="n">
        <f aca="false">ROUND(D12/35,1)</f>
        <v>1.9</v>
      </c>
      <c r="G12" s="8" t="s">
        <v>24</v>
      </c>
      <c r="H12" s="9" t="str">
        <f aca="false">IF(B12&gt;=C12,"QUALIFIED","+"&amp;TEXT(D12,"0")&amp;" to go")</f>
        <v>+65 to go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228</v>
      </c>
      <c r="C13" s="7" t="n">
        <v>334</v>
      </c>
      <c r="D13" s="7" t="n">
        <f aca="false">MAX(0,C13-B13)</f>
        <v>106</v>
      </c>
      <c r="E13" s="7" t="n">
        <f aca="false">ROUND(D13/5,1)</f>
        <v>21.2</v>
      </c>
      <c r="F13" s="7" t="n">
        <f aca="false">ROUND(D13/35,1)</f>
        <v>3</v>
      </c>
      <c r="G13" s="8" t="s">
        <v>26</v>
      </c>
      <c r="H13" s="9" t="str">
        <f aca="false">IF(B13&gt;=C13,"QUALIFIED","+"&amp;TEXT(D13,"0")&amp;" to go")</f>
        <v>+106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41</v>
      </c>
      <c r="C14" s="7" t="n">
        <v>96</v>
      </c>
      <c r="D14" s="7" t="n">
        <f aca="false">MAX(0,C14-B14)</f>
        <v>55</v>
      </c>
      <c r="E14" s="7" t="n">
        <f aca="false">ROUND(D14/5,1)</f>
        <v>11</v>
      </c>
      <c r="F14" s="7" t="n">
        <f aca="false">ROUND(D14/35,1)</f>
        <v>1.6</v>
      </c>
      <c r="G14" s="8" t="s">
        <v>28</v>
      </c>
      <c r="H14" s="9" t="str">
        <f aca="false">IF(B14&gt;=C14,"QUALIFIED","+"&amp;TEXT(D14,"0")&amp;" to go")</f>
        <v>+55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118</v>
      </c>
    </row>
    <row r="2" customFormat="false" ht="15" hidden="false" customHeight="true" outlineLevel="0" collapsed="false">
      <c r="A2" s="3" t="s">
        <v>119</v>
      </c>
    </row>
    <row r="4" customFormat="false" ht="15" hidden="false" customHeight="true" outlineLevel="0" collapsed="false">
      <c r="A4" s="10" t="s">
        <v>120</v>
      </c>
      <c r="D4" s="10" t="s">
        <v>121</v>
      </c>
    </row>
    <row r="5" customFormat="false" ht="15" hidden="false" customHeight="true" outlineLevel="0" collapsed="false">
      <c r="A5" s="4" t="s">
        <v>122</v>
      </c>
      <c r="B5" s="4" t="s">
        <v>123</v>
      </c>
      <c r="D5" s="4" t="s">
        <v>124</v>
      </c>
      <c r="E5" s="4" t="s">
        <v>122</v>
      </c>
      <c r="F5" s="4" t="s">
        <v>123</v>
      </c>
      <c r="G5" s="4" t="s">
        <v>125</v>
      </c>
    </row>
    <row r="6" customFormat="false" ht="15" hidden="false" customHeight="true" outlineLevel="0" collapsed="false">
      <c r="A6" s="7" t="s">
        <v>126</v>
      </c>
      <c r="B6" s="7" t="n">
        <v>300</v>
      </c>
      <c r="D6" s="12" t="s">
        <v>127</v>
      </c>
      <c r="E6" s="7" t="s">
        <v>128</v>
      </c>
      <c r="F6" s="7" t="n">
        <v>5</v>
      </c>
      <c r="G6" s="7" t="s">
        <v>129</v>
      </c>
    </row>
    <row r="7" customFormat="false" ht="15" hidden="false" customHeight="true" outlineLevel="0" collapsed="false">
      <c r="A7" s="7" t="s">
        <v>130</v>
      </c>
      <c r="B7" s="7" t="n">
        <v>100</v>
      </c>
      <c r="D7" s="12" t="s">
        <v>131</v>
      </c>
      <c r="E7" s="7" t="s">
        <v>128</v>
      </c>
      <c r="F7" s="7" t="n">
        <v>5</v>
      </c>
      <c r="G7" s="7" t="s">
        <v>132</v>
      </c>
    </row>
    <row r="8" customFormat="false" ht="15" hidden="false" customHeight="true" outlineLevel="0" collapsed="false">
      <c r="A8" s="7" t="s">
        <v>133</v>
      </c>
      <c r="B8" s="7" t="n">
        <v>75</v>
      </c>
      <c r="D8" s="12" t="s">
        <v>134</v>
      </c>
      <c r="E8" s="7" t="s">
        <v>135</v>
      </c>
      <c r="F8" s="7" t="n">
        <v>2</v>
      </c>
      <c r="G8" s="7" t="s">
        <v>129</v>
      </c>
    </row>
    <row r="9" customFormat="false" ht="15" hidden="false" customHeight="true" outlineLevel="0" collapsed="false">
      <c r="A9" s="7" t="s">
        <v>136</v>
      </c>
      <c r="B9" s="7" t="n">
        <v>40</v>
      </c>
      <c r="D9" s="12" t="s">
        <v>137</v>
      </c>
      <c r="E9" s="7" t="s">
        <v>138</v>
      </c>
      <c r="F9" s="7" t="n">
        <v>1</v>
      </c>
      <c r="G9" s="7" t="s">
        <v>129</v>
      </c>
    </row>
    <row r="10" customFormat="false" ht="15" hidden="false" customHeight="true" outlineLevel="0" collapsed="false">
      <c r="A10" s="7" t="s">
        <v>139</v>
      </c>
      <c r="B10" s="7" t="n">
        <v>20</v>
      </c>
      <c r="D10" s="12" t="s">
        <v>140</v>
      </c>
      <c r="E10" s="7" t="s">
        <v>138</v>
      </c>
      <c r="F10" s="7" t="n">
        <v>1</v>
      </c>
      <c r="G10" s="7" t="s">
        <v>129</v>
      </c>
    </row>
    <row r="11" customFormat="false" ht="15" hidden="false" customHeight="true" outlineLevel="0" collapsed="false">
      <c r="A11" s="7" t="s">
        <v>128</v>
      </c>
      <c r="B11" s="7" t="n">
        <v>5</v>
      </c>
      <c r="D11" s="5" t="s">
        <v>141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135</v>
      </c>
      <c r="B12" s="7" t="n">
        <v>2</v>
      </c>
    </row>
    <row r="13" customFormat="false" ht="15" hidden="false" customHeight="true" outlineLevel="0" collapsed="false">
      <c r="A13" s="7" t="s">
        <v>138</v>
      </c>
      <c r="B13" s="7" t="n">
        <v>1</v>
      </c>
    </row>
    <row r="16" customFormat="false" ht="15" hidden="false" customHeight="true" outlineLevel="0" collapsed="false">
      <c r="A16" s="10" t="s">
        <v>142</v>
      </c>
    </row>
    <row r="17" customFormat="false" ht="15" hidden="false" customHeight="true" outlineLevel="0" collapsed="false">
      <c r="A17" s="4" t="s">
        <v>143</v>
      </c>
      <c r="B17" s="4" t="s">
        <v>60</v>
      </c>
      <c r="C17" s="4" t="s">
        <v>144</v>
      </c>
      <c r="D17" s="4" t="s">
        <v>145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146</v>
      </c>
      <c r="B18" s="7" t="s">
        <v>147</v>
      </c>
      <c r="C18" s="7" t="n">
        <v>0</v>
      </c>
      <c r="D18" s="7" t="n">
        <v>0</v>
      </c>
      <c r="E18" s="7" t="n">
        <v>0</v>
      </c>
      <c r="F18" s="12" t="s">
        <v>148</v>
      </c>
    </row>
    <row r="19" customFormat="false" ht="15" hidden="false" customHeight="true" outlineLevel="0" collapsed="false">
      <c r="A19" s="12" t="s">
        <v>149</v>
      </c>
      <c r="B19" s="7" t="s">
        <v>150</v>
      </c>
      <c r="C19" s="7" t="n">
        <v>0</v>
      </c>
      <c r="D19" s="7" t="n">
        <v>0</v>
      </c>
      <c r="E19" s="7" t="n">
        <v>0</v>
      </c>
      <c r="F19" s="12" t="s">
        <v>148</v>
      </c>
    </row>
    <row r="20" customFormat="false" ht="15" hidden="false" customHeight="true" outlineLevel="0" collapsed="false">
      <c r="A20" s="12" t="s">
        <v>151</v>
      </c>
      <c r="B20" s="7" t="s">
        <v>152</v>
      </c>
      <c r="C20" s="7" t="n">
        <v>1</v>
      </c>
      <c r="D20" s="7" t="n">
        <v>0</v>
      </c>
      <c r="E20" s="7" t="n">
        <v>1</v>
      </c>
      <c r="F20" s="12" t="s">
        <v>153</v>
      </c>
    </row>
    <row r="21" customFormat="false" ht="15" hidden="false" customHeight="true" outlineLevel="0" collapsed="false">
      <c r="A21" s="12" t="s">
        <v>154</v>
      </c>
      <c r="B21" s="7" t="s">
        <v>155</v>
      </c>
      <c r="C21" s="7" t="n">
        <v>20</v>
      </c>
      <c r="D21" s="7" t="n">
        <v>0</v>
      </c>
      <c r="E21" s="7" t="n">
        <v>20</v>
      </c>
      <c r="F21" s="12" t="s">
        <v>156</v>
      </c>
    </row>
    <row r="22" customFormat="false" ht="15" hidden="false" customHeight="true" outlineLevel="0" collapsed="false">
      <c r="A22" s="12" t="s">
        <v>157</v>
      </c>
      <c r="B22" s="7" t="s">
        <v>158</v>
      </c>
      <c r="C22" s="7" t="n">
        <v>9</v>
      </c>
      <c r="D22" s="7" t="n">
        <v>5</v>
      </c>
      <c r="E22" s="7" t="n">
        <v>14</v>
      </c>
      <c r="F22" s="12" t="s">
        <v>159</v>
      </c>
    </row>
    <row r="23" customFormat="false" ht="15" hidden="false" customHeight="true" outlineLevel="0" collapsed="false">
      <c r="A23" s="12" t="s">
        <v>160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161</v>
      </c>
    </row>
    <row r="25" customFormat="false" ht="15" hidden="false" customHeight="true" outlineLevel="0" collapsed="false">
      <c r="A25" s="10" t="s">
        <v>162</v>
      </c>
    </row>
    <row r="26" customFormat="false" ht="15" hidden="false" customHeight="true" outlineLevel="0" collapsed="false">
      <c r="A26" s="11" t="s">
        <v>163</v>
      </c>
    </row>
    <row r="27" customFormat="false" ht="15" hidden="false" customHeight="true" outlineLevel="0" collapsed="false">
      <c r="A27" s="11" t="s">
        <v>164</v>
      </c>
    </row>
    <row r="28" customFormat="false" ht="15" hidden="false" customHeight="true" outlineLevel="0" collapsed="false">
      <c r="A28" s="11" t="s">
        <v>165</v>
      </c>
    </row>
    <row r="29" customFormat="false" ht="15" hidden="false" customHeight="true" outlineLevel="0" collapsed="false">
      <c r="A29" s="11" t="s">
        <v>166</v>
      </c>
    </row>
    <row r="30" customFormat="false" ht="15" hidden="false" customHeight="true" outlineLevel="0" collapsed="false">
      <c r="A30" s="11" t="s">
        <v>167</v>
      </c>
    </row>
    <row r="33" customFormat="false" ht="15" hidden="false" customHeight="true" outlineLevel="0" collapsed="false">
      <c r="A33" s="10" t="s">
        <v>168</v>
      </c>
    </row>
    <row r="34" customFormat="false" ht="15" hidden="false" customHeight="true" outlineLevel="0" collapsed="false">
      <c r="A34" s="11" t="s">
        <v>169</v>
      </c>
    </row>
    <row r="35" customFormat="false" ht="15" hidden="false" customHeight="true" outlineLevel="0" collapsed="false">
      <c r="A35" s="11" t="s">
        <v>170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171</v>
      </c>
    </row>
    <row r="38" customFormat="false" ht="15" hidden="false" customHeight="true" outlineLevel="0" collapsed="false">
      <c r="A38" s="11" t="s">
        <v>172</v>
      </c>
    </row>
    <row r="39" customFormat="false" ht="15" hidden="false" customHeight="true" outlineLevel="0" collapsed="false">
      <c r="A39" s="11" t="s">
        <v>173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174</v>
      </c>
    </row>
    <row r="42" customFormat="false" ht="15" hidden="false" customHeight="true" outlineLevel="0" collapsed="false">
      <c r="A42" s="11" t="s">
        <v>175</v>
      </c>
    </row>
    <row r="43" customFormat="false" ht="15" hidden="false" customHeight="true" outlineLevel="0" collapsed="false">
      <c r="A43" s="11" t="s">
        <v>176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2026-08-27T12:10:19Z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