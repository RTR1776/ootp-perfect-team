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<sst xmlns="http://schemas.openxmlformats.org/spreadsheetml/2006/main" count="253" uniqueCount="200">
  <si>
    <t xml:space="preserve">PTCS 6 — All 10 Categories (Aug 3 – Sep 6)</t>
  </si>
  <si>
    <t xml:space="preserve">5-week period. Targets = CWhit's Projected QP (read 2026-09-02). His current-128 column is the live cutoff as of the Aug 31 dump.</t>
  </si>
  <si>
    <t xml:space="preserve">Category</t>
  </si>
  <si>
    <t xml:space="preserve">Total</t>
  </si>
  <si>
    <t xml:space="preserve">Target (CWhit proj)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</si>
  <si>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</si>
  <si>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</si>
  <si>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</si>
  <si>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</si>
  <si>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</si>
  <si>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</si>
  <si>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</si>
  <si>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</si>
  <si>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</si>
  <si>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</si>
  <si>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</si>
  <si>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</si>
  <si>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</si>
  <si>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</si>
  <si>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</si>
  <si>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</si>
  <si>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</si>
  <si>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</si>
  <si>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</si>
  <si>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</si>
  <si>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</si>
  <si>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</si>
  <si>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</si>
  <si>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</si>
  <si>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</si>
  <si>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</si>
  <si>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</si>
  <si>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</si>
  <si>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</si>
  <si>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</si>
  <si>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</si>
  <si>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</si>
  <si>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</si>
  <si>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</si>
  <si>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</si>
  <si>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</si>
  <si>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</si>
  <si>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</si>
  <si>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</si>
  <si>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</si>
  <si>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</si>
  <si>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</si>
  <si>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</si>
  <si>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</si>
  <si>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</si>
  <si>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</si>
  <si>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</si>
  <si>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</si>
  <si>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</si>
  <si>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</si>
  <si>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</si>
  <si>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</si>
  <si>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</si>
  <si>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</si>
  <si>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</si>
  <si>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</si>
  <si>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</si>
  <si>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</si>
  <si>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</si>
  <si>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</si>
  <si>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</si>
  <si>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</si>
  <si>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</si>
  <si>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</si>
  <si>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</si>
  <si>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</si>
  <si>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</si>
  <si>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</si>
  <si>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</si>
  <si>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</si>
  <si>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</si>
  <si>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</si>
  <si>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</si>
  <si>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</si>
  <si>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</si>
  <si>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</si>
  <si>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</si>
  <si>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</si>
  <si>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</si>
  <si>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</si>
  <si>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</si>
  <si>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</si>
  <si>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</si>
  <si>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</si>
  <si>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</si>
  <si>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</si>
  <si>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</si>
  <si>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</si>
  <si>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</si>
  <si>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</si>
  <si>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</si>
  <si>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</si>
  <si>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</si>
  <si>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</si>
  <si>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</si>
  <si>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</si>
  <si>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</si>
  <si>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</si>
  <si>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</si>
  <si>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</si>
  <si>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</si>
  <si>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</si>
  <si>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</si>
  <si>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</si>
  <si>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</si>
  <si>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</si>
  <si>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</si>
  <si>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</si>
  <si>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</si>
  <si>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</si>
  <si>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</si>
  <si>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</si>
  <si>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</si>
  <si>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</si>
  <si>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</si>
  <si>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</si>
  <si>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</si>
  <si>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</si>
  <si>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</si>
  <si>
    <t xml:space="preserve">Sun Aug 30</t>
  </si>
  <si>
    <t xml:space="preserve"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</si>
  <si>
    <t xml:space="preserve">Mon Aug 31</t>
  </si>
  <si>
    <t xml:space="preserve"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</si>
  <si>
    <t xml:space="preserve">Tue Sep 1</t>
  </si>
  <si>
    <t xml:space="preserve"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</si>
  <si>
    <t xml:space="preserve">Wed Sep 2</t>
  </si>
  <si>
    <t xml:space="preserve">Wednesday 1950 to Now 17-32 (128, Op+TW) +3 OPEN - counted per the game's own Op tag; note the dump model currently EXCLUDES this event, so it may not show up in the community Open standings. ZEROS: Open Slots 33-64 (64, Op+Cp); Early Gold 65-128 (128). LATE ADDS from the Sep 4 screenshot (+6): Bronze PTCS 3 Replay Slots 1890099 17-32 (64) +1 B/+1 C; All-Diamond 2200173 9-16 (64) +3 PDD; 6L Power Play 2180173 33-64 (128) +1 PDD. LATE ZERO: Wednesday Night of the Living Deadball 1500024 65-128 (128, Op+TW). AMENDED from the Sep 4 results screen (+1): Wednesday Ice to See You 1490024 65-128 (256, Dia+TW) +1 D. ADDITIONAL ZEROS: Late Silver 1240173 65-128 (128); Silver &amp; Friends Slots 1900099 33-64 (64). Day complete.</t>
  </si>
  <si>
    <t xml:space="preserve">Thu Sep 3</t>
  </si>
  <si>
    <t xml:space="preserve">CWHIT'S CAP CHALLENGE 4 3rd/4th (128, Gld+Cp+TW) +15 GOLD/+15 CAP - best Cap result of the period and the biggest Gold hit since the Aug 28 Golden Heart win. Thursday Silver Spectacular 9-16 (256, Slv+TW) +10 SILVER - TW carries no standing, Silver only. Silver &amp; Friends Slots 9-16 (64) +3 S/+3 C; Silver Only Cap 17-32 (64) +1 S/+1 C; Silver Slots 17-32 (64) +1 S/+1 C. PDD: Perfecto Primetime 9-16 (64) +3, All-Gold 9-16 (64) +3, Perfecto Morning 9-16 (64) +3, High Heat in the Morning 17-32 (64) +1, Struggling to Sleep - DBL 17-32 (64) +1. ZEROS: Bronze PTCS 3 Replay Slots 33-64 (64); Low Silver Only 33-64 (64); Low Diamond 33-64 (64); Bronze 1910-59 33-64 (64); 6L Power Play 65-128 (128); 5L Deadball 65-128 (128). ELIMINATED/unscored: Thursday Night Gold Rush (256, Gld+TW); Thursday Overnight Under the Covers (256, PD WEEKLY). Screenshot showed no Sep 4 group, so Sep 3 may still take late adds.</t>
  </si>
  <si>
    <t xml:space="preserve">Fri Sep 4</t>
  </si>
  <si>
    <t xml:space="preserve">AMENDED 9/5 from the full Your Tournaments screen — the original +59 was read before the late results landed and with Perfect Drafts filtered out of the view. Confirmed already-counted: Bronze 1910-59 WINNER 1640170 +25 B; Silver Only Cap 1250174 3rd/4th +10 S/+10 C; Gold Slots 9-16 +3 G/+3 C; Low Diamond 1340174 9-16 +3 D; Open Slots 1410174 17-32 +1 O/+1 C; All-Silver 2110174 9-16 +3 PDD; zeros 5L Deadball 2070174 and Low Silver Only 1970003. NEW this pass (+19): Silver Slots 1270175 17-32 (64) +1 S/+1 C; Late Silver 1240175 33-64 (128) +1 S; Diamond &amp; Friends 1920101 9-16 (64) +3 D/+3 C; Perfectly Gold 2220175 9-16 (64) +3 PDD; All-Gold 2120174 9-16 (64) +3 PDD; Midday Perfecto 2530164 9-16 (64) +3 PDD; 6L Power Play 2180175 33-64 (128) +1 PDD. ZEROS: Perfectly Silver 2550164, All-Diamond 2200175, Silver &amp; Friends 1900101, Bronze OOTP Era 1820158 (65-128 of 128); Friday Draft About Nothing 2390024 eliminated. Day total 59 -&gt; 78, the best day of the period.</t>
  </si>
  <si>
    <t xml:space="preserve">Sat Sep 5</t>
  </si>
  <si>
    <t xml:space="preserve">Day 34 of 35, read straight off the Your Tournaments screen with Show: All Tournaments and Drafts. Around the Breakfast Table 2560101 5-8 (64) +6 PDD; Struggling to Sleep - DBL 2240175 9-16 (64) +3 PDD; Don't Forget to Pick up the Kids - Live 2130175 17-32 (64, PD Daily+Live) +1 PDD/+1 LIVE; Bronze 1910-59 1640171 17-32 (64) +1 B; Low Silver Only 1970004 17-32 (64) +1 S; Diamond Heart 1850158 17-32 (64) +1 D. ZEROS: Silver Only Cap 1250175 and Open Slots 1410175 33-64 (64); Midday Perfecto 2530165 33-64 (64); Negro Leagues Slots 1950014 65-128 (128, Op+Cp+TW). UNSCORED: Saturday Shrinkage 2430025 (256, PD WEEKLY) eliminated with no placement. STILL IN FLIGHT and able to add to this day: All-Gold 2120175, Perfectly Bronze 2140175, Just Order Pizza 2170176, Bronze PTCS 3 1890102, Bronze OOTP Era 1820159 (all eliminated, awaiting placement) and All-Diamond 2200176, 6L Power Play 2180176, Late Silver 1240176, Saturday Diamond Variety 1590025, Perfectly Silver 2550165 (still playing). RESOLVED from the Sep 6 screen (+6), clearing every event this note listed as in flight: Late Silver 1240176 17-32 (128) +3 S; Saturday Diamond Variety 1590025 33-64 (128, Dia+TW) +1 D; Bronze OOTP Era 1820159 33-64 (128) +1 B; Perfectly Silver 2550165 17-32 (64) +1 PDD. LATE ZEROS: All-Diamond 2200176 33-64 (64); 6L Power Play 2180176 65-128 (128); Just Order Pizza 2170176 33-64 (64); Bronze PTCS 3 Replay Slots 1890102 33-64 (64); Perfectly Bronze 2140175 33-64 (64); All-Gold 2120175 33-64 (64). Day complete.</t>
  </si>
  <si>
    <t xml:space="preserve">Sun Sep 6</t>
  </si>
  <si>
    <t xml:space="preserve">Day 35 of 35 — the last qualifying day — read off the Your Tournaments screen. Sunday High Iron Floor and Gold Ceiling 1600025 5-8 (128, Gld+Cp+TW) +10 G/+10 C; Open Slots 1410176 5-8 (64, Op+Cp) +6 OPEN/+6 C; Perfecto Morning 2520165 5-8 (64) +6 PDD; Rise and Shine 2030176 9-16 (64) +3 PDD; All-Silver 2110176 17-32 (64, PD Daily tag only despite the name) +1 PDD. ZEROS: Gold Slots 1320176 33-64 (64, Gld+Cp); Struggling to Sleep - DBL 2240176 33-64 (64). Read across two captures of the Today rows; if anything else finished after the second one, this day is short by that amount.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</si>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</sst>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127</v>
      </c>
      <c r="D5" s="7" t="n">
        <f aca="false">MAX(0,C5-B5)</f>
        <v>127</v>
      </c>
      <c r="E5" s="7" t="n">
        <f aca="false">ROUND(D5/5,1)</f>
        <v>25.4</v>
      </c>
      <c r="F5" s="7" t="n">
        <f aca="false">ROUND(D5/35,1)</f>
        <v>3.6</v>
      </c>
      <c r="G5" s="8" t="s">
        <v>11</v>
      </c>
      <c r="H5" s="9" t="str">
        <f aca="false">IF(B5&gt;=C5,"QUALIFIED","+"&amp;TEXT(D5,"0")&amp;" to go")</f>
        <v>+127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154</v>
      </c>
      <c r="C6" s="7" t="n">
        <v>133</v>
      </c>
      <c r="D6" s="7" t="n">
        <f aca="false">MAX(0,C6-B6)</f>
        <v>0</v>
      </c>
      <c r="E6" s="7" t="n">
        <f aca="false">ROUND(D6/5,1)</f>
        <v>0</v>
      </c>
      <c r="F6" s="7" t="n">
        <f aca="false">ROUND(D6/35,1)</f>
        <v>0</v>
      </c>
      <c r="G6" s="8" t="s">
        <v>11</v>
      </c>
      <c r="H6" s="9" t="str">
        <f aca="false">IF(B6&gt;=C6,"QUALIFIED","+"&amp;TEXT(D6,"0")&amp;" to go")</f>
        <v>QUALIFIED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170</v>
      </c>
      <c r="C7" s="7" t="n">
        <v>119</v>
      </c>
      <c r="D7" s="7" t="n">
        <f aca="false">MAX(0,C7-B7)</f>
        <v>0</v>
      </c>
      <c r="E7" s="7" t="n">
        <f aca="false">ROUND(D7/5,1)</f>
        <v>0</v>
      </c>
      <c r="F7" s="7" t="n">
        <f aca="false">ROUND(D7/35,1)</f>
        <v>0</v>
      </c>
      <c r="G7" s="8" t="s">
        <v>14</v>
      </c>
      <c r="H7" s="9" t="str">
        <f aca="false">IF(B7&gt;=C7,"QUALIFIED","+"&amp;TEXT(D7,"0")&amp;" to go")</f>
        <v>QUALIFIED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159</v>
      </c>
      <c r="C8" s="7" t="n">
        <v>114</v>
      </c>
      <c r="D8" s="7" t="n">
        <f aca="false">MAX(0,C8-B8)</f>
        <v>0</v>
      </c>
      <c r="E8" s="7" t="n">
        <f aca="false">ROUND(D8/5,1)</f>
        <v>0</v>
      </c>
      <c r="F8" s="7" t="n">
        <f aca="false">ROUND(D8/35,1)</f>
        <v>0</v>
      </c>
      <c r="G8" s="8" t="s">
        <v>16</v>
      </c>
      <c r="H8" s="9" t="str">
        <f aca="false">IF(B8&gt;=C8,"QUALIFIED","+"&amp;TEXT(D8,"0")&amp;" to go")</f>
        <v>QUALIFIED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131</v>
      </c>
      <c r="C9" s="7" t="n">
        <v>99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22</v>
      </c>
      <c r="C10" s="7" t="n">
        <v>120</v>
      </c>
      <c r="D10" s="7" t="n">
        <f aca="false">MAX(0,C10-B10)</f>
        <v>98</v>
      </c>
      <c r="E10" s="7" t="n">
        <f aca="false">ROUND(D10/5,1)</f>
        <v>19.6</v>
      </c>
      <c r="F10" s="7" t="n">
        <f aca="false">ROUND(D10/35,1)</f>
        <v>2.8</v>
      </c>
      <c r="G10" s="8" t="s">
        <v>20</v>
      </c>
      <c r="H10" s="9" t="str">
        <f aca="false">IF(B10&gt;=C10,"QUALIFIED","+"&amp;TEXT(D10,"0")&amp;" to go")</f>
        <v>+98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13</v>
      </c>
      <c r="C11" s="7" t="n">
        <v>175</v>
      </c>
      <c r="D11" s="7" t="n">
        <f aca="false">MAX(0,C11-B11)</f>
        <v>162</v>
      </c>
      <c r="E11" s="7" t="n">
        <f aca="false">ROUND(D11/5,1)</f>
        <v>32.4</v>
      </c>
      <c r="F11" s="7" t="n">
        <f aca="false">ROUND(D11/35,1)</f>
        <v>4.6</v>
      </c>
      <c r="G11" s="8" t="s">
        <v>22</v>
      </c>
      <c r="H11" s="9" t="str">
        <f aca="false">IF(B11&gt;=C11,"QUALIFIED","+"&amp;TEXT(D11,"0")&amp;" to go")</f>
        <v>+162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220</v>
      </c>
      <c r="C12" s="7" t="n">
        <v>161</v>
      </c>
      <c r="D12" s="7" t="n">
        <f aca="false">MAX(0,C12-B12)</f>
        <v>0</v>
      </c>
      <c r="E12" s="7" t="n">
        <f aca="false">ROUND(D12/5,1)</f>
        <v>0</v>
      </c>
      <c r="F12" s="7" t="n">
        <f aca="false">ROUND(D12/35,1)</f>
        <v>0</v>
      </c>
      <c r="G12" s="8" t="s">
        <v>24</v>
      </c>
      <c r="H12" s="9" t="str">
        <f aca="false">IF(B12&gt;=C12,"QUALIFIED","+"&amp;TEXT(D12,"0")&amp;" to go")</f>
        <v>QUALIFIED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331</v>
      </c>
      <c r="C13" s="7" t="n">
        <v>347</v>
      </c>
      <c r="D13" s="7" t="n">
        <f aca="false">MAX(0,C13-B13)</f>
        <v>16</v>
      </c>
      <c r="E13" s="7" t="n">
        <f aca="false">ROUND(D13/5,1)</f>
        <v>3.2</v>
      </c>
      <c r="F13" s="7" t="n">
        <f aca="false">ROUND(D13/35,1)</f>
        <v>0.5</v>
      </c>
      <c r="G13" s="8" t="s">
        <v>26</v>
      </c>
      <c r="H13" s="9" t="str">
        <f aca="false">IF(B13&gt;=C13,"QUALIFIED","+"&amp;TEXT(D13,"0")&amp;" to go")</f>
        <v>+16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52</v>
      </c>
      <c r="C14" s="7" t="n">
        <v>92</v>
      </c>
      <c r="D14" s="7" t="n">
        <f aca="false">MAX(0,C14-B14)</f>
        <v>40</v>
      </c>
      <c r="E14" s="7" t="n">
        <f aca="false">ROUND(D14/5,1)</f>
        <v>8</v>
      </c>
      <c r="F14" s="7" t="n">
        <f aca="false">ROUND(D14/35,1)</f>
        <v>1.1</v>
      </c>
      <c r="G14" s="8" t="s">
        <v>28</v>
      </c>
      <c r="H14" s="9" t="str">
        <f aca="false">IF(B14&gt;=C14,"QUALIFIED","+"&amp;TEXT(D14,"0")&amp;" to go")</f>
        <v>+40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2</v>
      </c>
      <c r="F31" s="7" t="n">
        <v>15</v>
      </c>
      <c r="G31" s="7" t="n">
        <v>0</v>
      </c>
      <c r="H31" s="7" t="n">
        <v>0</v>
      </c>
      <c r="I31" s="7" t="n">
        <v>0</v>
      </c>
      <c r="J31" s="7" t="n">
        <v>1</v>
      </c>
      <c r="K31" s="7" t="n">
        <v>6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12" t="s">
        <v>124</v>
      </c>
      <c r="B32" s="12" t="s">
        <v>82</v>
      </c>
      <c r="C32" s="7" t="n">
        <v>0</v>
      </c>
      <c r="D32" s="7" t="n">
        <v>0</v>
      </c>
      <c r="E32" s="7" t="n">
        <v>7</v>
      </c>
      <c r="F32" s="7" t="n">
        <v>6</v>
      </c>
      <c r="G32" s="7" t="n">
        <v>0</v>
      </c>
      <c r="H32" s="7" t="n">
        <v>1</v>
      </c>
      <c r="I32" s="7" t="n">
        <v>0</v>
      </c>
      <c r="J32" s="7" t="n">
        <v>7</v>
      </c>
      <c r="K32" s="7" t="n">
        <v>5</v>
      </c>
      <c r="L32" s="7" t="n">
        <v>0</v>
      </c>
      <c r="M32" s="12" t="s">
        <v>125</v>
      </c>
    </row>
    <row r="33" customFormat="false" ht="15" hidden="false" customHeight="true" outlineLevel="0" collapsed="false">
      <c r="A33" s="12" t="s">
        <v>126</v>
      </c>
      <c r="B33" s="12" t="s">
        <v>64</v>
      </c>
      <c r="C33" s="7" t="n">
        <v>0</v>
      </c>
      <c r="D33" s="7" t="n">
        <v>4</v>
      </c>
      <c r="E33" s="7" t="n">
        <v>7</v>
      </c>
      <c r="F33" s="7" t="n">
        <v>3</v>
      </c>
      <c r="G33" s="7" t="n">
        <v>1</v>
      </c>
      <c r="H33" s="7" t="n">
        <v>0</v>
      </c>
      <c r="I33" s="7" t="n">
        <v>0</v>
      </c>
      <c r="J33" s="7" t="n">
        <v>5</v>
      </c>
      <c r="K33" s="7" t="n">
        <v>14</v>
      </c>
      <c r="L33" s="7" t="n">
        <v>10</v>
      </c>
      <c r="M33" s="12" t="s">
        <v>127</v>
      </c>
    </row>
    <row r="34" customFormat="false" ht="15" hidden="false" customHeight="true" outlineLevel="0" collapsed="false">
      <c r="A34" s="12" t="s">
        <v>128</v>
      </c>
      <c r="B34" s="12" t="s">
        <v>67</v>
      </c>
      <c r="C34" s="7" t="n">
        <v>0</v>
      </c>
      <c r="D34" s="7" t="n">
        <v>10</v>
      </c>
      <c r="E34" s="7" t="n">
        <v>1</v>
      </c>
      <c r="F34" s="7" t="n">
        <v>3</v>
      </c>
      <c r="G34" s="7" t="n">
        <v>1</v>
      </c>
      <c r="H34" s="7" t="n">
        <v>0</v>
      </c>
      <c r="I34" s="7" t="n">
        <v>0</v>
      </c>
      <c r="J34" s="7" t="n">
        <v>12</v>
      </c>
      <c r="K34" s="7" t="n">
        <v>13</v>
      </c>
      <c r="L34" s="7" t="n">
        <v>0</v>
      </c>
      <c r="M34" s="12" t="s">
        <v>129</v>
      </c>
    </row>
    <row r="35" customFormat="false" ht="15" hidden="false" customHeight="true" outlineLevel="0" collapsed="false">
      <c r="A35" s="12" t="s">
        <v>130</v>
      </c>
      <c r="B35" s="12" t="s">
        <v>70</v>
      </c>
      <c r="C35" s="7" t="n">
        <v>0</v>
      </c>
      <c r="D35" s="7" t="n">
        <v>1</v>
      </c>
      <c r="E35" s="7" t="n">
        <v>0</v>
      </c>
      <c r="F35" s="7" t="n">
        <v>0</v>
      </c>
      <c r="G35" s="7" t="n">
        <v>1</v>
      </c>
      <c r="H35" s="7" t="n">
        <v>3</v>
      </c>
      <c r="I35" s="7" t="n">
        <v>0</v>
      </c>
      <c r="J35" s="7" t="n">
        <v>1</v>
      </c>
      <c r="K35" s="7" t="n">
        <v>4</v>
      </c>
      <c r="L35" s="7" t="n">
        <v>0</v>
      </c>
      <c r="M35" s="12" t="s">
        <v>131</v>
      </c>
    </row>
    <row r="36" customFormat="false" ht="15" hidden="false" customHeight="true" outlineLevel="0" collapsed="false">
      <c r="A36" s="12" t="s">
        <v>132</v>
      </c>
      <c r="B36" s="12" t="s">
        <v>73</v>
      </c>
      <c r="C36" s="7" t="n">
        <v>0</v>
      </c>
      <c r="D36" s="7" t="n">
        <v>0</v>
      </c>
      <c r="E36" s="7" t="n">
        <v>15</v>
      </c>
      <c r="F36" s="7" t="n">
        <v>15</v>
      </c>
      <c r="G36" s="7" t="n">
        <v>0</v>
      </c>
      <c r="H36" s="7" t="n">
        <v>0</v>
      </c>
      <c r="I36" s="7" t="n">
        <v>0</v>
      </c>
      <c r="J36" s="7" t="n">
        <v>20</v>
      </c>
      <c r="K36" s="7" t="n">
        <v>11</v>
      </c>
      <c r="L36" s="7" t="n">
        <v>0</v>
      </c>
      <c r="M36" s="12" t="s">
        <v>133</v>
      </c>
    </row>
    <row r="37" customFormat="false" ht="15" hidden="false" customHeight="true" outlineLevel="0" collapsed="false">
      <c r="A37" s="12" t="s">
        <v>134</v>
      </c>
      <c r="B37" s="12" t="s">
        <v>76</v>
      </c>
      <c r="C37" s="7" t="n">
        <v>0</v>
      </c>
      <c r="D37" s="7" t="n">
        <v>25</v>
      </c>
      <c r="E37" s="7" t="n">
        <v>12</v>
      </c>
      <c r="F37" s="7" t="n">
        <v>3</v>
      </c>
      <c r="G37" s="7" t="n">
        <v>6</v>
      </c>
      <c r="H37" s="7" t="n">
        <v>1</v>
      </c>
      <c r="I37" s="7" t="n">
        <v>0</v>
      </c>
      <c r="J37" s="7" t="n">
        <v>18</v>
      </c>
      <c r="K37" s="7" t="n">
        <v>13</v>
      </c>
      <c r="L37" s="7" t="n">
        <v>0</v>
      </c>
      <c r="M37" s="12" t="s">
        <v>135</v>
      </c>
    </row>
    <row r="38" customFormat="false" ht="15" hidden="false" customHeight="true" outlineLevel="0" collapsed="false">
      <c r="A38" s="12" t="s">
        <v>136</v>
      </c>
      <c r="B38" s="12" t="s">
        <v>79</v>
      </c>
      <c r="C38" s="7" t="n">
        <v>0</v>
      </c>
      <c r="D38" s="7" t="n">
        <v>2</v>
      </c>
      <c r="E38" s="7" t="n">
        <v>4</v>
      </c>
      <c r="F38" s="7" t="n">
        <v>0</v>
      </c>
      <c r="G38" s="7" t="n">
        <v>2</v>
      </c>
      <c r="H38" s="7" t="n">
        <v>0</v>
      </c>
      <c r="I38" s="7" t="n">
        <v>1</v>
      </c>
      <c r="J38" s="7" t="n">
        <v>0</v>
      </c>
      <c r="K38" s="7" t="n">
        <v>11</v>
      </c>
      <c r="L38" s="7" t="n">
        <v>0</v>
      </c>
      <c r="M38" s="12" t="s">
        <v>137</v>
      </c>
    </row>
    <row r="39" customFormat="false" ht="15" hidden="false" customHeight="true" outlineLevel="0" collapsed="false">
      <c r="A39" s="12" t="s">
        <v>138</v>
      </c>
      <c r="B39" s="12" t="s">
        <v>82</v>
      </c>
      <c r="C39" s="7" t="n">
        <v>0</v>
      </c>
      <c r="D39" s="7" t="n">
        <v>0</v>
      </c>
      <c r="E39" s="7" t="n">
        <v>0</v>
      </c>
      <c r="F39" s="7" t="n">
        <v>10</v>
      </c>
      <c r="G39" s="7" t="n">
        <v>0</v>
      </c>
      <c r="H39" s="7" t="n">
        <v>6</v>
      </c>
      <c r="I39" s="7" t="n">
        <v>0</v>
      </c>
      <c r="J39" s="7" t="n">
        <v>16</v>
      </c>
      <c r="K39" s="7" t="n">
        <v>10</v>
      </c>
      <c r="L39" s="7" t="n">
        <v>0</v>
      </c>
      <c r="M39" s="12" t="s">
        <v>139</v>
      </c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140</v>
      </c>
    </row>
    <row r="2" customFormat="false" ht="15" hidden="false" customHeight="true" outlineLevel="0" collapsed="false">
      <c r="A2" s="3" t="s">
        <v>141</v>
      </c>
    </row>
    <row r="4" customFormat="false" ht="15" hidden="false" customHeight="true" outlineLevel="0" collapsed="false">
      <c r="A4" s="10" t="s">
        <v>142</v>
      </c>
      <c r="D4" s="10" t="s">
        <v>143</v>
      </c>
    </row>
    <row r="5" customFormat="false" ht="15" hidden="false" customHeight="true" outlineLevel="0" collapsed="false">
      <c r="A5" s="4" t="s">
        <v>144</v>
      </c>
      <c r="B5" s="4" t="s">
        <v>145</v>
      </c>
      <c r="D5" s="4" t="s">
        <v>146</v>
      </c>
      <c r="E5" s="4" t="s">
        <v>144</v>
      </c>
      <c r="F5" s="4" t="s">
        <v>145</v>
      </c>
      <c r="G5" s="4" t="s">
        <v>147</v>
      </c>
    </row>
    <row r="6" customFormat="false" ht="15" hidden="false" customHeight="true" outlineLevel="0" collapsed="false">
      <c r="A6" s="7" t="s">
        <v>148</v>
      </c>
      <c r="B6" s="7" t="n">
        <v>300</v>
      </c>
      <c r="D6" s="12" t="s">
        <v>149</v>
      </c>
      <c r="E6" s="7" t="s">
        <v>150</v>
      </c>
      <c r="F6" s="7" t="n">
        <v>5</v>
      </c>
      <c r="G6" s="7" t="s">
        <v>151</v>
      </c>
    </row>
    <row r="7" customFormat="false" ht="15" hidden="false" customHeight="true" outlineLevel="0" collapsed="false">
      <c r="A7" s="7" t="s">
        <v>152</v>
      </c>
      <c r="B7" s="7" t="n">
        <v>100</v>
      </c>
      <c r="D7" s="12" t="s">
        <v>153</v>
      </c>
      <c r="E7" s="7" t="s">
        <v>150</v>
      </c>
      <c r="F7" s="7" t="n">
        <v>5</v>
      </c>
      <c r="G7" s="7" t="s">
        <v>154</v>
      </c>
    </row>
    <row r="8" customFormat="false" ht="15" hidden="false" customHeight="true" outlineLevel="0" collapsed="false">
      <c r="A8" s="7" t="s">
        <v>155</v>
      </c>
      <c r="B8" s="7" t="n">
        <v>75</v>
      </c>
      <c r="D8" s="12" t="s">
        <v>156</v>
      </c>
      <c r="E8" s="7" t="s">
        <v>157</v>
      </c>
      <c r="F8" s="7" t="n">
        <v>2</v>
      </c>
      <c r="G8" s="7" t="s">
        <v>151</v>
      </c>
    </row>
    <row r="9" customFormat="false" ht="15" hidden="false" customHeight="true" outlineLevel="0" collapsed="false">
      <c r="A9" s="7" t="s">
        <v>158</v>
      </c>
      <c r="B9" s="7" t="n">
        <v>40</v>
      </c>
      <c r="D9" s="12" t="s">
        <v>159</v>
      </c>
      <c r="E9" s="7" t="s">
        <v>160</v>
      </c>
      <c r="F9" s="7" t="n">
        <v>1</v>
      </c>
      <c r="G9" s="7" t="s">
        <v>151</v>
      </c>
    </row>
    <row r="10" customFormat="false" ht="15" hidden="false" customHeight="true" outlineLevel="0" collapsed="false">
      <c r="A10" s="7" t="s">
        <v>161</v>
      </c>
      <c r="B10" s="7" t="n">
        <v>20</v>
      </c>
      <c r="D10" s="12" t="s">
        <v>162</v>
      </c>
      <c r="E10" s="7" t="s">
        <v>160</v>
      </c>
      <c r="F10" s="7" t="n">
        <v>1</v>
      </c>
      <c r="G10" s="7" t="s">
        <v>151</v>
      </c>
    </row>
    <row r="11" customFormat="false" ht="15" hidden="false" customHeight="true" outlineLevel="0" collapsed="false">
      <c r="A11" s="7" t="s">
        <v>150</v>
      </c>
      <c r="B11" s="7" t="n">
        <v>5</v>
      </c>
      <c r="D11" s="5" t="s">
        <v>163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157</v>
      </c>
      <c r="B12" s="7" t="n">
        <v>2</v>
      </c>
    </row>
    <row r="13" customFormat="false" ht="15" hidden="false" customHeight="true" outlineLevel="0" collapsed="false">
      <c r="A13" s="7" t="s">
        <v>160</v>
      </c>
      <c r="B13" s="7" t="n">
        <v>1</v>
      </c>
    </row>
    <row r="16" customFormat="false" ht="15" hidden="false" customHeight="true" outlineLevel="0" collapsed="false">
      <c r="A16" s="10" t="s">
        <v>164</v>
      </c>
    </row>
    <row r="17" customFormat="false" ht="15" hidden="false" customHeight="true" outlineLevel="0" collapsed="false">
      <c r="A17" s="4" t="s">
        <v>165</v>
      </c>
      <c r="B17" s="4" t="s">
        <v>60</v>
      </c>
      <c r="C17" s="4" t="s">
        <v>166</v>
      </c>
      <c r="D17" s="4" t="s">
        <v>167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168</v>
      </c>
      <c r="B18" s="7" t="s">
        <v>169</v>
      </c>
      <c r="C18" s="7" t="n">
        <v>0</v>
      </c>
      <c r="D18" s="7" t="n">
        <v>0</v>
      </c>
      <c r="E18" s="7" t="n">
        <v>0</v>
      </c>
      <c r="F18" s="12" t="s">
        <v>170</v>
      </c>
    </row>
    <row r="19" customFormat="false" ht="15" hidden="false" customHeight="true" outlineLevel="0" collapsed="false">
      <c r="A19" s="12" t="s">
        <v>171</v>
      </c>
      <c r="B19" s="7" t="s">
        <v>172</v>
      </c>
      <c r="C19" s="7" t="n">
        <v>0</v>
      </c>
      <c r="D19" s="7" t="n">
        <v>0</v>
      </c>
      <c r="E19" s="7" t="n">
        <v>0</v>
      </c>
      <c r="F19" s="12" t="s">
        <v>170</v>
      </c>
    </row>
    <row r="20" customFormat="false" ht="15" hidden="false" customHeight="true" outlineLevel="0" collapsed="false">
      <c r="A20" s="12" t="s">
        <v>173</v>
      </c>
      <c r="B20" s="7" t="s">
        <v>174</v>
      </c>
      <c r="C20" s="7" t="n">
        <v>1</v>
      </c>
      <c r="D20" s="7" t="n">
        <v>0</v>
      </c>
      <c r="E20" s="7" t="n">
        <v>1</v>
      </c>
      <c r="F20" s="12" t="s">
        <v>175</v>
      </c>
    </row>
    <row r="21" customFormat="false" ht="15" hidden="false" customHeight="true" outlineLevel="0" collapsed="false">
      <c r="A21" s="12" t="s">
        <v>176</v>
      </c>
      <c r="B21" s="7" t="s">
        <v>177</v>
      </c>
      <c r="C21" s="7" t="n">
        <v>20</v>
      </c>
      <c r="D21" s="7" t="n">
        <v>0</v>
      </c>
      <c r="E21" s="7" t="n">
        <v>20</v>
      </c>
      <c r="F21" s="12" t="s">
        <v>178</v>
      </c>
    </row>
    <row r="22" customFormat="false" ht="15" hidden="false" customHeight="true" outlineLevel="0" collapsed="false">
      <c r="A22" s="12" t="s">
        <v>179</v>
      </c>
      <c r="B22" s="7" t="s">
        <v>180</v>
      </c>
      <c r="C22" s="7" t="n">
        <v>9</v>
      </c>
      <c r="D22" s="7" t="n">
        <v>5</v>
      </c>
      <c r="E22" s="7" t="n">
        <v>14</v>
      </c>
      <c r="F22" s="12" t="s">
        <v>181</v>
      </c>
    </row>
    <row r="23" customFormat="false" ht="15" hidden="false" customHeight="true" outlineLevel="0" collapsed="false">
      <c r="A23" s="12" t="s">
        <v>182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183</v>
      </c>
    </row>
    <row r="25" customFormat="false" ht="15" hidden="false" customHeight="true" outlineLevel="0" collapsed="false">
      <c r="A25" s="10" t="s">
        <v>184</v>
      </c>
    </row>
    <row r="26" customFormat="false" ht="15" hidden="false" customHeight="true" outlineLevel="0" collapsed="false">
      <c r="A26" s="11" t="s">
        <v>185</v>
      </c>
    </row>
    <row r="27" customFormat="false" ht="15" hidden="false" customHeight="true" outlineLevel="0" collapsed="false">
      <c r="A27" s="11" t="s">
        <v>186</v>
      </c>
    </row>
    <row r="28" customFormat="false" ht="15" hidden="false" customHeight="true" outlineLevel="0" collapsed="false">
      <c r="A28" s="11" t="s">
        <v>187</v>
      </c>
    </row>
    <row r="29" customFormat="false" ht="15" hidden="false" customHeight="true" outlineLevel="0" collapsed="false">
      <c r="A29" s="11" t="s">
        <v>188</v>
      </c>
    </row>
    <row r="30" customFormat="false" ht="15" hidden="false" customHeight="true" outlineLevel="0" collapsed="false">
      <c r="A30" s="11" t="s">
        <v>189</v>
      </c>
    </row>
    <row r="33" customFormat="false" ht="15" hidden="false" customHeight="true" outlineLevel="0" collapsed="false">
      <c r="A33" s="10" t="s">
        <v>190</v>
      </c>
    </row>
    <row r="34" customFormat="false" ht="15" hidden="false" customHeight="true" outlineLevel="0" collapsed="false">
      <c r="A34" s="11" t="s">
        <v>191</v>
      </c>
    </row>
    <row r="35" customFormat="false" ht="15" hidden="false" customHeight="true" outlineLevel="0" collapsed="false">
      <c r="A35" s="11" t="s">
        <v>192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193</v>
      </c>
    </row>
    <row r="38" customFormat="false" ht="15" hidden="false" customHeight="true" outlineLevel="0" collapsed="false">
      <c r="A38" s="11" t="s">
        <v>194</v>
      </c>
    </row>
    <row r="39" customFormat="false" ht="15" hidden="false" customHeight="true" outlineLevel="0" collapsed="false">
      <c r="A39" s="11" t="s">
        <v>195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196</v>
      </c>
    </row>
    <row r="42" customFormat="false" ht="15" hidden="false" customHeight="true" outlineLevel="0" collapsed="false">
      <c r="A42" s="11" t="s">
        <v>197</v>
      </c>
    </row>
    <row r="43" customFormat="false" ht="15" hidden="false" customHeight="true" outlineLevel="0" collapsed="false">
      <c r="A43" s="11" t="s">
        <v>198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2026-09-07T01:06:28Z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