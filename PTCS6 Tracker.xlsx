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<sst xmlns="http://schemas.openxmlformats.org/spreadsheetml/2006/main" count="247" uniqueCount="196">
  <si>
    <t xml:space="preserve">PTCS 6 — All 10 Categories (Aug 3 – Sep 6)</t>
  </si>
  <si>
    <t xml:space="preserve">5-week period. Targets = CWhit's Projected QP (read 2026-09-02). His current-128 column is the live cutoff as of the Aug 31 dump.</t>
  </si>
  <si>
    <t xml:space="preserve">Category</t>
  </si>
  <si>
    <t xml:space="preserve">Total</t>
  </si>
  <si>
    <t xml:space="preserve">Target (CWhit proj)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</si>
  <si>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</si>
  <si>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</si>
  <si>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</si>
  <si>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</si>
  <si>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</si>
  <si>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</si>
  <si>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</si>
  <si>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</si>
  <si>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</si>
  <si>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</si>
  <si>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</si>
  <si>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</si>
  <si>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</si>
  <si>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</si>
  <si>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</si>
  <si>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</si>
  <si>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</si>
  <si>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</si>
  <si>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</si>
  <si>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</si>
  <si>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</si>
  <si>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</si>
  <si>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</si>
  <si>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</si>
  <si>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</si>
  <si>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</si>
  <si>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</si>
  <si>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</si>
  <si>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</si>
  <si>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</si>
  <si>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</si>
  <si>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</si>
  <si>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</si>
  <si>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</si>
  <si>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</si>
  <si>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</si>
  <si>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</si>
  <si>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</si>
  <si>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</si>
  <si>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</si>
  <si>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</si>
  <si>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</si>
  <si>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</si>
  <si>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</si>
  <si>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</si>
  <si>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</si>
  <si>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</si>
  <si>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</si>
  <si>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</si>
  <si>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</si>
  <si>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</si>
  <si>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</si>
  <si>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</si>
  <si>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</si>
  <si>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</si>
  <si>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</si>
  <si>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</si>
  <si>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</si>
  <si>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</si>
  <si>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</si>
  <si>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</si>
  <si>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</si>
  <si>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</si>
  <si>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</si>
  <si>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</si>
  <si>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</si>
  <si>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</si>
  <si>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</si>
  <si>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</si>
  <si>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</si>
  <si>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</si>
  <si>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</si>
  <si>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</si>
  <si>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</si>
  <si>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</si>
  <si>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</si>
  <si>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</si>
  <si>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</si>
  <si>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</si>
  <si>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</si>
  <si>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</si>
  <si>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</si>
  <si>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</si>
  <si>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</si>
  <si>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</si>
  <si>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</si>
  <si>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</si>
  <si>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</si>
  <si>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</si>
  <si>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</si>
  <si>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</si>
  <si>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</si>
  <si>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</si>
  <si>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</si>
  <si>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</si>
  <si>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</si>
  <si>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</si>
  <si>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</si>
  <si>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</si>
  <si>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</si>
  <si>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</si>
  <si>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</si>
  <si>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</si>
  <si>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</si>
  <si>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</si>
  <si>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</si>
  <si>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LATE ADDS (Aug 25 screenshot): 6L Power Play 9-16 (128) +6 PDD; OOTP and Chill 17-32 (64) +1 PDD; Late Silver 33-64 (128) +1S; Sunday Open Main Event 33-64 (256) +3 OPEN. Zeros: Bronze PTCS 3 Replay Slots, Golden Heart, Pizza D&amp;G.</t>
  </si>
  <si>
    <t xml:space="preserve">Mon Aug 24</t>
  </si>
  <si>
    <t xml:space="preserve">LOW DIAMOND 3rd/4th (64) +10 DIAMOND - Diamond crosses the 101-pt estimated target. Wonky Historical Slots 17-32 (128, Gld+Cp+TW) +3G/+3C; Just Order Pizza D&amp;G 9-16 (64) +3 PDD; Gold Slots 17-32 (64) +1G/+1C; Up And At Them Bronze 65-128 (256) +1B. Monday Getting it Started (PD Weekly, 256) ELIMINATED - unscored. ZEROS: Tuck in Time + Snack Time 17-32 (32s pay 0), Silver Slots, Silver Heart, Hitters First, Open Slots 33-64 (64), Gold Floor Cap, 6L Power Play, Bronze OOTP Era, 5L Deadball 65-128 (128).</t>
  </si>
  <si>
    <t xml:space="preserve">Tue Aug 25</t>
  </si>
  <si>
    <t xml:space="preserve">DIAMOND SLOTS 9-16 (64) +3D/+3C; Low Diamond 9-16 (64) +3D; PDD singles: 6L Power Play 33-64 (128), Just Order Pizza 17-32 (64), Trying to Look Busy 17-32 (64), 5L Deadball 33-64 (128). Tuesday Evening Adrenaline Rush (PD WEEKLY, 256) ELIMINATED - 0. ZEROS: Sporer's Sandlot 65-128 + Up to 1969 33-64 (TW), Late Silver + Early Gold 65-128 (128), Gold Slots 33-64 (64), This Could've Been an Email 33-64 (64).</t>
  </si>
  <si>
    <t xml:space="preserve">Wed Aug 26</t>
  </si>
  <si>
    <t xml:space="preserve">5L DEADBALL 5th-8th (128) +10 PDD - best PD Daily finish of the period. PDD singles: 6L Power Play 33-64 (128), Good Orderly Evening 17-32 (64). Diamond &amp; Friends Slots 17-32 (64) +1D/+1C; Late Silver 33-64 (128) +1S. Wednesday Ice to See You (256, Dia weekly) ELIMINATED. ZEROS: Bronze Only Cap, Bronze 1910-59, Gold Slots, Trying to Look Busy, Doc Rock Derby 33-64 (64s); Early Gold + Night of the Living Deadball 65-128 (128); Up Late with Rich 17-32 (32 pays 0). W-1950-to-Now excluded.</t>
  </si>
  <si>
    <t xml:space="preserve">Thu Aug 27</t>
  </si>
  <si>
    <t xml:space="preserve">SILVER SLOTS 3rd/4th (64) +10 SILVER/+10 CAP - biggest Silver+Cap hit of the period. Just Order Pizza 5-8 (64) +6 PDD; CWhit Cap Challenge 4 33-64 (128) +1G/+1C; PDD singles: 6L Power Play (167), Pitchers First 17-32 (64), 5L Deadball (166); Bronze 1910-59 17-32 (64) +1B; Thursday Overnight Under the Covers 65-128 (256) +1 PDW - first PDW point since Aug 22. Weeklies ELIMINATED: Gold Rush, Silver Spectacular. ZEROS: Golden Childhood, Bronze Only Cap 167, Late Silver, Diamond Slots 167, Bronze OOTP Era, Could've Been an Email 166, Double Espresso.</t>
  </si>
  <si>
    <t xml:space="preserve">Fri Aug 28</t>
  </si>
  <si>
    <t xml:space="preserve">BEST DAY OF THE PERIOD (+78). GOLDEN HEART WINNER (64) +25 GOLD - first tournament WIN of PTCS 6. Silver Slots 2ND (64) +15 SILVER/+15 CAP; Silver Heart 3rd/4th (64) +10 SILVER; Diamond Heart 5-8 (64) +6 D; Doc Rock Derby 9-16 (64) +3 PDD; Snack Time 5-8 (32) +3 PDD; 5L Deadball 33-64 (128) +1 PDD. Draft About Nothing (PDW) eliminated. ZEROS: Open Slots, Early Gold, Gold Slots, 6L Power Play 168, Late Silver 168, Silver Slamboree. LATE ADDS from Aug 29 screenshot amended this day (+68 over the morning partial).</t>
  </si>
  <si>
    <t xml:space="preserve">Sat Aug 29</t>
  </si>
  <si>
    <t xml:space="preserve">LOW GOLD RETROSPECTICUS 2ND (64) +15 GOLD - best Gold day since the Golden Heart win. PDD singles: Struggling to Sleep 9-16 (64) +3, Trying to Look Busy - D&amp;G 17-32 (64) +1. Saturday Shrinkage (PD WEEKLY, 256) ELIMINATED - 0. ZEROS: Silver &amp; Friends Deadball Slots 33-64 (64), Gold Slots 33-64 (64). LATE ADDS from the Aug 30 screenshot (+5): Silver Slots 17-32 (64) +1 S/+1 C; Silver Slamboree 33-64 (128) +1 S; Just Order Pizza 17-32 (64) +1 PDD; This Could've Been an Email 17-32 (64) +1 PDD. LATE ZEROS: Silver Heart 33-64 (64), 6L Power Play 65-128 (128), Saturday Diamond Variety 65-128 (128, Dia+TW), Late Silver 65-128 (128).</t>
  </si>
  <si>
    <t xml:space="preserve">Sun Aug 30</t>
  </si>
  <si>
    <t xml:space="preserve">Gold+Cap doubles: Sunday High Iron Floor and Gold Ceiling 17-32 (128, Gld+Cp+TW) +3 G/+3 C; Gold Slots 9-16 (64) +3 G/+3 C. PDD: Struggling to Sleep 9-16 (64) +3, 5L Deadball 33-64 (128) +1. ZEROS: Low Gold Retrospecticus 33-64 (64), Bagels and Schmear 33-64 (64). LATE ADDS from the Sep 1 full-list screenshots (+10): Silver Heart 5-8 (64) +6 S; Late Silver 33-64 (128) +1 S; Sunday Open Slots 33-64 (128, Op+Cp+TW) +1 O/+1 C; Rocking Chair Lunch 17-32 (64) +1 PDD. LATE ZEROS: Silver Slots 33-64 (64); 6L Power Play 65-128 (128); Bronze OOTP Era 65-128 (128); Sunday Up and Down the Ladder 65-128 (128, PD WEEKLY). Day now complete.</t>
  </si>
  <si>
    <t xml:space="preserve">Mon Aug 31</t>
  </si>
  <si>
    <t xml:space="preserve">MONDAY NIGHT HISTORY LESSON 9-16 (256, PD WEEKLY) +10 PDW - third-best PD Weekly day of the period and the first PDW points since Aug 27. Just Order Pizza 5-8 (64) +6 PDD; Late Silver 9-16 (128) +6 S; Bronze 1910-59 9-16 (64) +3 B; Gold Slots 9-16 (64) +3 G/+3 C; Bagels and Schmear 9-16 (64) +3 PDD; 6L Power Play 17-32 (128) +3 PDD; Diamond &amp; Friends Slots 17-32 (64) +1 D/+1 C; Silver &amp; Friends Deadball Slots 17-32 (64) +1 S/+1 C; Bronze OOTP Era 33-64 (128) +1 B; 5L Deadball 33-64 (128) +1 PDD; Struggling to Sleep 17-32 (64) +1 PDD. ZEROS: Monday Gold Floor Cap 65-128 (128, Op+Cp+TW); Hitters First 33-64 (64); Monday Up And At Them Bronze (256, Brz+TW) ELIMINATED.</t>
  </si>
  <si>
    <t xml:space="preserve">Tue Sep 1</t>
  </si>
  <si>
    <t xml:space="preserve">BRONZE PTCS 3 REPLAY SLOTS 3rd/4th (64) +10 B/+10 CAP - biggest Bronze hit of the period and the swing that puts Bronze within 4 of target. 6L Power Play 5-8 (128) +10 PDD - best PD Daily result since the Aug 26 Deadball 5-8. Perfecto Primetime 9-16 (64) +3 PDD; Early Gold 17-32 (128) +3 G; Silver Slots 17-32 (64) +1 S/+1 C; Diamond &amp; Friends Slots 17-32 (64) +1 D/+1 C. ZEROS: Perfectly Silver 33-64 (64); All-Gold 33-64 (64); All-Silver 33-64 (64); Bronze OOTP Era 65-128 (128); 5L Deadball 65-128 (128); Tuesday Up to 1969 65-128 (128, Op+TW).</t>
  </si>
  <si>
    <t xml:space="preserve">Wed Sep 2</t>
  </si>
  <si>
    <t xml:space="preserve">Wednesday 1950 to Now 17-32 (128, Op+TW) +3 OPEN - counted per the game's own Op tag; note the dump model currently EXCLUDES this event, so it may not show up in the community Open standings. ZEROS: Open Slots 33-64 (64, Op+Cp); Early Gold 65-128 (128). LATE ADDS from the Sep 4 screenshot (+6): Bronze PTCS 3 Replay Slots 1890099 17-32 (64) +1 B/+1 C; All-Diamond 2200173 9-16 (64) +3 PDD; 6L Power Play 2180173 33-64 (128) +1 PDD. LATE ZERO: Wednesday Night of the Living Deadball 1500024 65-128 (128, Op+TW). AMENDED from the Sep 4 results screen (+1): Wednesday Ice to See You 1490024 65-128 (256, Dia+TW) +1 D. ADDITIONAL ZEROS: Late Silver 1240173 65-128 (128); Silver &amp; Friends Slots 1900099 33-64 (64). Day complete.</t>
  </si>
  <si>
    <t xml:space="preserve">Thu Sep 3</t>
  </si>
  <si>
    <t xml:space="preserve">CWHIT'S CAP CHALLENGE 4 3rd/4th (128, Gld+Cp+TW) +15 GOLD/+15 CAP - best Cap result of the period and the biggest Gold hit since the Aug 28 Golden Heart win. Thursday Silver Spectacular 9-16 (256, Slv+TW) +10 SILVER - TW carries no standing, Silver only. Silver &amp; Friends Slots 9-16 (64) +3 S/+3 C; Silver Only Cap 17-32 (64) +1 S/+1 C; Silver Slots 17-32 (64) +1 S/+1 C. PDD: Perfecto Primetime 9-16 (64) +3, All-Gold 9-16 (64) +3, Perfecto Morning 9-16 (64) +3, High Heat in the Morning 17-32 (64) +1, Struggling to Sleep - DBL 17-32 (64) +1. ZEROS: Bronze PTCS 3 Replay Slots 33-64 (64); Low Silver Only 33-64 (64); Low Diamond 33-64 (64); Bronze 1910-59 33-64 (64); 6L Power Play 65-128 (128); 5L Deadball 65-128 (128). ELIMINATED/unscored: Thursday Night Gold Rush (256, Gld+TW); Thursday Overnight Under the Covers (256, PD WEEKLY). Screenshot showed no Sep 4 group, so Sep 3 may still take late adds.</t>
  </si>
  <si>
    <t xml:space="preserve">Fri Sep 4</t>
  </si>
  <si>
    <t xml:space="preserve">BRONZE 1910-59 WINNER (64) +25 BRONZE - second win of the period, carries Bronze past target. SILVER ONLY CAP 3rd/4th (64) +10 S/+10 C. Gold Slots 9-16 (64, Gld+Cp) +3 G/+3 C; Low Diamond 9-16 (64) +3 D; Open Slots 17-32 (64, Op+Cp) +1 O/+1 C; All-Silver 9-16 (64) +3 PDD. ZEROS: 5L Deadball 65-128 (128); Low Silver Only 33-64 (64). Read straight off the Your Tournaments screen at 10pm Central, so the tournament side of the day is COMPLETE; PD events are filtered out of that view and may still add. In flight: Silver &amp; Friends Slots 1900101 and Late Silver 1240175 (both eliminated), Diamond &amp; Friends 1920101, Silver Slots 1270175, Diamond Heart 1850158, Saturday Diamond Variety 1590025.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</si>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</sst>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"/>
    <col collapsed="false" customWidth="true" hidden="false" outlineLevel="0" max="3" min="3" style="1" width="13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9"/>
    <col collapsed="false" customWidth="true" hidden="false" outlineLevel="0" max="7" min="7" style="1" width="17"/>
    <col collapsed="false" customWidth="true" hidden="false" outlineLevel="0" max="8" min="8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</row>
    <row r="5" customFormat="false" ht="15" hidden="false" customHeight="true" outlineLevel="0" collapsed="false">
      <c r="A5" s="5" t="s">
        <v>10</v>
      </c>
      <c r="B5" s="6" t="n">
        <f aca="false">SUM('Daily Log'!C5:C52)</f>
        <v>0</v>
      </c>
      <c r="C5" s="7" t="n">
        <v>127</v>
      </c>
      <c r="D5" s="7" t="n">
        <f aca="false">MAX(0,C5-B5)</f>
        <v>127</v>
      </c>
      <c r="E5" s="7" t="n">
        <f aca="false">ROUND(D5/5,1)</f>
        <v>25.4</v>
      </c>
      <c r="F5" s="7" t="n">
        <f aca="false">ROUND(D5/35,1)</f>
        <v>3.6</v>
      </c>
      <c r="G5" s="8" t="s">
        <v>11</v>
      </c>
      <c r="H5" s="9" t="str">
        <f aca="false">IF(B5&gt;=C5,"QUALIFIED","+"&amp;TEXT(D5,"0")&amp;" to go")</f>
        <v>+127 to go</v>
      </c>
    </row>
    <row r="6" customFormat="false" ht="15" hidden="false" customHeight="true" outlineLevel="0" collapsed="false">
      <c r="A6" s="5" t="s">
        <v>12</v>
      </c>
      <c r="B6" s="6" t="n">
        <f aca="false">SUM('Daily Log'!D5:D52)</f>
        <v>152</v>
      </c>
      <c r="C6" s="7" t="n">
        <v>133</v>
      </c>
      <c r="D6" s="7" t="n">
        <f aca="false">MAX(0,C6-B6)</f>
        <v>0</v>
      </c>
      <c r="E6" s="7" t="n">
        <f aca="false">ROUND(D6/5,1)</f>
        <v>0</v>
      </c>
      <c r="F6" s="7" t="n">
        <f aca="false">ROUND(D6/35,1)</f>
        <v>0</v>
      </c>
      <c r="G6" s="8" t="s">
        <v>11</v>
      </c>
      <c r="H6" s="9" t="str">
        <f aca="false">IF(B6&gt;=C6,"QUALIFIED","+"&amp;TEXT(D6,"0")&amp;" to go")</f>
        <v>QUALIFIED</v>
      </c>
    </row>
    <row r="7" customFormat="false" ht="15" hidden="false" customHeight="true" outlineLevel="0" collapsed="false">
      <c r="A7" s="5" t="s">
        <v>13</v>
      </c>
      <c r="B7" s="6" t="n">
        <f aca="false">SUM('Daily Log'!E5:E52)</f>
        <v>164</v>
      </c>
      <c r="C7" s="7" t="n">
        <v>119</v>
      </c>
      <c r="D7" s="7" t="n">
        <f aca="false">MAX(0,C7-B7)</f>
        <v>0</v>
      </c>
      <c r="E7" s="7" t="n">
        <f aca="false">ROUND(D7/5,1)</f>
        <v>0</v>
      </c>
      <c r="F7" s="7" t="n">
        <f aca="false">ROUND(D7/35,1)</f>
        <v>0</v>
      </c>
      <c r="G7" s="8" t="s">
        <v>14</v>
      </c>
      <c r="H7" s="9" t="str">
        <f aca="false">IF(B7&gt;=C7,"QUALIFIED","+"&amp;TEXT(D7,"0")&amp;" to go")</f>
        <v>QUALIFIED</v>
      </c>
    </row>
    <row r="8" customFormat="false" ht="15" hidden="false" customHeight="true" outlineLevel="0" collapsed="false">
      <c r="A8" s="5" t="s">
        <v>15</v>
      </c>
      <c r="B8" s="6" t="n">
        <f aca="false">SUM('Daily Log'!F5:F52)</f>
        <v>149</v>
      </c>
      <c r="C8" s="7" t="n">
        <v>114</v>
      </c>
      <c r="D8" s="7" t="n">
        <f aca="false">MAX(0,C8-B8)</f>
        <v>0</v>
      </c>
      <c r="E8" s="7" t="n">
        <f aca="false">ROUND(D8/5,1)</f>
        <v>0</v>
      </c>
      <c r="F8" s="7" t="n">
        <f aca="false">ROUND(D8/35,1)</f>
        <v>0</v>
      </c>
      <c r="G8" s="8" t="s">
        <v>16</v>
      </c>
      <c r="H8" s="9" t="str">
        <f aca="false">IF(B8&gt;=C8,"QUALIFIED","+"&amp;TEXT(D8,"0")&amp;" to go")</f>
        <v>QUALIFIED</v>
      </c>
    </row>
    <row r="9" customFormat="false" ht="15" hidden="false" customHeight="true" outlineLevel="0" collapsed="false">
      <c r="A9" s="5" t="s">
        <v>17</v>
      </c>
      <c r="B9" s="6" t="n">
        <f aca="false">SUM('Daily Log'!G5:G52)</f>
        <v>126</v>
      </c>
      <c r="C9" s="7" t="n">
        <v>99</v>
      </c>
      <c r="D9" s="7" t="n">
        <f aca="false">MAX(0,C9-B9)</f>
        <v>0</v>
      </c>
      <c r="E9" s="7" t="n">
        <f aca="false">ROUND(D9/5,1)</f>
        <v>0</v>
      </c>
      <c r="F9" s="7" t="n">
        <f aca="false">ROUND(D9/35,1)</f>
        <v>0</v>
      </c>
      <c r="G9" s="8" t="s">
        <v>18</v>
      </c>
      <c r="H9" s="9" t="str">
        <f aca="false">IF(B9&gt;=C9,"QUALIFIED","+"&amp;TEXT(D9,"0")&amp;" to go")</f>
        <v>QUALIFIED</v>
      </c>
    </row>
    <row r="10" customFormat="false" ht="15" hidden="false" customHeight="true" outlineLevel="0" collapsed="false">
      <c r="A10" s="5" t="s">
        <v>19</v>
      </c>
      <c r="B10" s="6" t="n">
        <f aca="false">SUM('Daily Log'!H5:H52)</f>
        <v>16</v>
      </c>
      <c r="C10" s="7" t="n">
        <v>120</v>
      </c>
      <c r="D10" s="7" t="n">
        <f aca="false">MAX(0,C10-B10)</f>
        <v>104</v>
      </c>
      <c r="E10" s="7" t="n">
        <f aca="false">ROUND(D10/5,1)</f>
        <v>20.8</v>
      </c>
      <c r="F10" s="7" t="n">
        <f aca="false">ROUND(D10/35,1)</f>
        <v>3</v>
      </c>
      <c r="G10" s="8" t="s">
        <v>20</v>
      </c>
      <c r="H10" s="9" t="str">
        <f aca="false">IF(B10&gt;=C10,"QUALIFIED","+"&amp;TEXT(D10,"0")&amp;" to go")</f>
        <v>+104 to go</v>
      </c>
    </row>
    <row r="11" customFormat="false" ht="15" hidden="false" customHeight="true" outlineLevel="0" collapsed="false">
      <c r="A11" s="5" t="s">
        <v>21</v>
      </c>
      <c r="B11" s="6" t="n">
        <f aca="false">SUM('Daily Log'!I5:I52)</f>
        <v>12</v>
      </c>
      <c r="C11" s="7" t="n">
        <v>175</v>
      </c>
      <c r="D11" s="7" t="n">
        <f aca="false">MAX(0,C11-B11)</f>
        <v>163</v>
      </c>
      <c r="E11" s="7" t="n">
        <f aca="false">ROUND(D11/5,1)</f>
        <v>32.6</v>
      </c>
      <c r="F11" s="7" t="n">
        <f aca="false">ROUND(D11/35,1)</f>
        <v>4.7</v>
      </c>
      <c r="G11" s="8" t="s">
        <v>22</v>
      </c>
      <c r="H11" s="9" t="str">
        <f aca="false">IF(B11&gt;=C11,"QUALIFIED","+"&amp;TEXT(D11,"0")&amp;" to go")</f>
        <v>+163 to go</v>
      </c>
    </row>
    <row r="12" customFormat="false" ht="15" hidden="false" customHeight="true" outlineLevel="0" collapsed="false">
      <c r="A12" s="5" t="s">
        <v>23</v>
      </c>
      <c r="B12" s="6" t="n">
        <f aca="false">SUM('Daily Log'!J5:J52)</f>
        <v>200</v>
      </c>
      <c r="C12" s="7" t="n">
        <v>161</v>
      </c>
      <c r="D12" s="7" t="n">
        <f aca="false">MAX(0,C12-B12)</f>
        <v>0</v>
      </c>
      <c r="E12" s="7" t="n">
        <f aca="false">ROUND(D12/5,1)</f>
        <v>0</v>
      </c>
      <c r="F12" s="7" t="n">
        <f aca="false">ROUND(D12/35,1)</f>
        <v>0</v>
      </c>
      <c r="G12" s="8" t="s">
        <v>24</v>
      </c>
      <c r="H12" s="9" t="str">
        <f aca="false">IF(B12&gt;=C12,"QUALIFIED","+"&amp;TEXT(D12,"0")&amp;" to go")</f>
        <v>QUALIFIED</v>
      </c>
    </row>
    <row r="13" customFormat="false" ht="15" hidden="false" customHeight="true" outlineLevel="0" collapsed="false">
      <c r="A13" s="5" t="s">
        <v>25</v>
      </c>
      <c r="B13" s="6" t="n">
        <f aca="false">SUM('Daily Log'!K5:K52)</f>
        <v>300</v>
      </c>
      <c r="C13" s="7" t="n">
        <v>347</v>
      </c>
      <c r="D13" s="7" t="n">
        <f aca="false">MAX(0,C13-B13)</f>
        <v>47</v>
      </c>
      <c r="E13" s="7" t="n">
        <f aca="false">ROUND(D13/5,1)</f>
        <v>9.4</v>
      </c>
      <c r="F13" s="7" t="n">
        <f aca="false">ROUND(D13/35,1)</f>
        <v>1.3</v>
      </c>
      <c r="G13" s="8" t="s">
        <v>26</v>
      </c>
      <c r="H13" s="9" t="str">
        <f aca="false">IF(B13&gt;=C13,"QUALIFIED","+"&amp;TEXT(D13,"0")&amp;" to go")</f>
        <v>+47 to go</v>
      </c>
    </row>
    <row r="14" customFormat="false" ht="15" hidden="false" customHeight="true" outlineLevel="0" collapsed="false">
      <c r="A14" s="5" t="s">
        <v>27</v>
      </c>
      <c r="B14" s="6" t="n">
        <f aca="false">SUM('Daily Log'!L5:L52)</f>
        <v>52</v>
      </c>
      <c r="C14" s="7" t="n">
        <v>92</v>
      </c>
      <c r="D14" s="7" t="n">
        <f aca="false">MAX(0,C14-B14)</f>
        <v>40</v>
      </c>
      <c r="E14" s="7" t="n">
        <f aca="false">ROUND(D14/5,1)</f>
        <v>8</v>
      </c>
      <c r="F14" s="7" t="n">
        <f aca="false">ROUND(D14/35,1)</f>
        <v>1.1</v>
      </c>
      <c r="G14" s="8" t="s">
        <v>28</v>
      </c>
      <c r="H14" s="9" t="str">
        <f aca="false">IF(B14&gt;=C14,"QUALIFIED","+"&amp;TEXT(D14,"0")&amp;" to go")</f>
        <v>+40 to go</v>
      </c>
    </row>
    <row r="17" customFormat="false" ht="15" hidden="false" customHeight="true" outlineLevel="0" collapsed="false">
      <c r="A17" s="10" t="s">
        <v>29</v>
      </c>
    </row>
    <row r="18" customFormat="false" ht="15" hidden="false" customHeight="true" outlineLevel="0" collapsed="false">
      <c r="A18" s="11" t="s">
        <v>30</v>
      </c>
    </row>
    <row r="19" customFormat="false" ht="15" hidden="false" customHeight="true" outlineLevel="0" collapsed="false">
      <c r="A19" s="11" t="s">
        <v>31</v>
      </c>
    </row>
    <row r="20" customFormat="false" ht="15" hidden="false" customHeight="true" outlineLevel="0" collapsed="false">
      <c r="A20" s="11" t="s">
        <v>32</v>
      </c>
    </row>
    <row r="21" customFormat="false" ht="15" hidden="false" customHeight="true" outlineLevel="0" collapsed="false">
      <c r="A21" s="11"/>
    </row>
    <row r="22" customFormat="false" ht="15" hidden="false" customHeight="true" outlineLevel="0" collapsed="false">
      <c r="A22" s="11" t="s">
        <v>33</v>
      </c>
    </row>
    <row r="23" customFormat="false" ht="15" hidden="false" customHeight="true" outlineLevel="0" collapsed="false">
      <c r="A23" s="11" t="s">
        <v>34</v>
      </c>
    </row>
    <row r="24" customFormat="false" ht="15" hidden="false" customHeight="true" outlineLevel="0" collapsed="false">
      <c r="A24" s="11" t="s">
        <v>35</v>
      </c>
    </row>
    <row r="25" customFormat="false" ht="15" hidden="false" customHeight="true" outlineLevel="0" collapsed="false">
      <c r="A25" s="11" t="s">
        <v>36</v>
      </c>
    </row>
    <row r="26" customFormat="false" ht="15" hidden="false" customHeight="true" outlineLevel="0" collapsed="false">
      <c r="A26" s="11" t="s">
        <v>37</v>
      </c>
    </row>
    <row r="27" customFormat="false" ht="15" hidden="false" customHeight="true" outlineLevel="0" collapsed="false">
      <c r="A27" s="11"/>
    </row>
    <row r="28" customFormat="false" ht="15" hidden="false" customHeight="true" outlineLevel="0" collapsed="false">
      <c r="A28" s="11" t="s">
        <v>38</v>
      </c>
    </row>
    <row r="29" customFormat="false" ht="15" hidden="false" customHeight="true" outlineLevel="0" collapsed="false">
      <c r="A29" s="11" t="s">
        <v>39</v>
      </c>
    </row>
    <row r="30" customFormat="false" ht="15" hidden="false" customHeight="true" outlineLevel="0" collapsed="false">
      <c r="A30" s="11"/>
    </row>
    <row r="31" customFormat="false" ht="15" hidden="false" customHeight="true" outlineLevel="0" collapsed="false">
      <c r="A31" s="11" t="s">
        <v>40</v>
      </c>
    </row>
    <row r="32" customFormat="false" ht="15" hidden="false" customHeight="true" outlineLevel="0" collapsed="false">
      <c r="A32" s="11" t="s">
        <v>41</v>
      </c>
    </row>
    <row r="33" customFormat="false" ht="15" hidden="false" customHeight="true" outlineLevel="0" collapsed="false">
      <c r="A33" s="11" t="s">
        <v>42</v>
      </c>
    </row>
    <row r="34" customFormat="false" ht="15" hidden="false" customHeight="true" outlineLevel="0" collapsed="false">
      <c r="A34" s="11"/>
    </row>
    <row r="35" customFormat="false" ht="15" hidden="false" customHeight="true" outlineLevel="0" collapsed="false">
      <c r="A35" s="11" t="s">
        <v>43</v>
      </c>
    </row>
    <row r="36" customFormat="false" ht="15" hidden="false" customHeight="true" outlineLevel="0" collapsed="false">
      <c r="A36" s="11" t="s">
        <v>44</v>
      </c>
    </row>
    <row r="37" customFormat="false" ht="15" hidden="false" customHeight="true" outlineLevel="0" collapsed="false">
      <c r="A37" s="11" t="s">
        <v>45</v>
      </c>
    </row>
    <row r="38" customFormat="false" ht="15" hidden="false" customHeight="true" outlineLevel="0" collapsed="false">
      <c r="A38" s="11" t="s">
        <v>46</v>
      </c>
    </row>
    <row r="39" customFormat="false" ht="15" hidden="false" customHeight="true" outlineLevel="0" collapsed="false">
      <c r="A39" s="11" t="s">
        <v>47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48</v>
      </c>
    </row>
    <row r="42" customFormat="false" ht="15" hidden="false" customHeight="true" outlineLevel="0" collapsed="false">
      <c r="A42" s="11" t="s">
        <v>49</v>
      </c>
    </row>
    <row r="43" customFormat="false" ht="15" hidden="false" customHeight="true" outlineLevel="0" collapsed="false">
      <c r="A43" s="11" t="s">
        <v>50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51</v>
      </c>
    </row>
    <row r="46" customFormat="false" ht="15" hidden="false" customHeight="true" outlineLevel="0" collapsed="false">
      <c r="A46" s="11" t="s">
        <v>52</v>
      </c>
    </row>
    <row r="47" customFormat="false" ht="15" hidden="false" customHeight="true" outlineLevel="0" collapsed="false">
      <c r="A47" s="11" t="s">
        <v>53</v>
      </c>
    </row>
    <row r="48" customFormat="false" ht="15" hidden="false" customHeight="true" outlineLevel="0" collapsed="false">
      <c r="A48" s="11" t="s">
        <v>54</v>
      </c>
    </row>
    <row r="49" customFormat="false" ht="15" hidden="false" customHeight="true" outlineLevel="0" collapsed="false">
      <c r="A49" s="11" t="s">
        <v>55</v>
      </c>
    </row>
    <row r="50" customFormat="false" ht="15" hidden="false" customHeight="true" outlineLevel="0" collapsed="false">
      <c r="A50" s="11" t="s">
        <v>56</v>
      </c>
    </row>
    <row r="51" customFormat="false" ht="15" hidden="false" customHeight="true" outlineLevel="0" collapsed="false">
      <c r="A51" s="11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6"/>
    <col collapsed="false" customWidth="true" hidden="false" outlineLevel="0" max="6" min="3" style="1" width="8"/>
    <col collapsed="false" customWidth="true" hidden="false" outlineLevel="0" max="7" min="7" style="1" width="9"/>
    <col collapsed="false" customWidth="true" hidden="false" outlineLevel="0" max="10" min="8" style="1" width="8"/>
    <col collapsed="false" customWidth="true" hidden="false" outlineLevel="0" max="12" min="11" style="1" width="10"/>
    <col collapsed="false" customWidth="true" hidden="false" outlineLevel="0" max="13" min="13" style="1" width="52"/>
  </cols>
  <sheetData>
    <row r="1" customFormat="false" ht="18" hidden="false" customHeight="true" outlineLevel="0" collapsed="false">
      <c r="A1" s="2" t="s">
        <v>58</v>
      </c>
    </row>
    <row r="2" customFormat="false" ht="15" hidden="false" customHeight="true" outlineLevel="0" collapsed="false">
      <c r="A2" s="3" t="s">
        <v>59</v>
      </c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10</v>
      </c>
      <c r="D4" s="4" t="s">
        <v>12</v>
      </c>
      <c r="E4" s="4" t="s">
        <v>13</v>
      </c>
      <c r="F4" s="4" t="s">
        <v>15</v>
      </c>
      <c r="G4" s="4" t="s">
        <v>17</v>
      </c>
      <c r="H4" s="4" t="s">
        <v>19</v>
      </c>
      <c r="I4" s="4" t="s">
        <v>21</v>
      </c>
      <c r="J4" s="4" t="s">
        <v>23</v>
      </c>
      <c r="K4" s="4" t="s">
        <v>25</v>
      </c>
      <c r="L4" s="4" t="s">
        <v>27</v>
      </c>
      <c r="M4" s="4" t="s">
        <v>62</v>
      </c>
    </row>
    <row r="5" customFormat="false" ht="15" hidden="false" customHeight="true" outlineLevel="0" collapsed="false">
      <c r="A5" s="12" t="s">
        <v>63</v>
      </c>
      <c r="B5" s="12" t="s">
        <v>64</v>
      </c>
      <c r="C5" s="7" t="n">
        <v>0</v>
      </c>
      <c r="D5" s="7" t="n">
        <v>0</v>
      </c>
      <c r="E5" s="7" t="n">
        <v>4</v>
      </c>
      <c r="F5" s="7" t="n">
        <v>1</v>
      </c>
      <c r="G5" s="7" t="n">
        <v>45</v>
      </c>
      <c r="H5" s="7" t="n">
        <v>1</v>
      </c>
      <c r="I5" s="7" t="n">
        <v>1</v>
      </c>
      <c r="J5" s="7" t="n">
        <v>31</v>
      </c>
      <c r="K5" s="7" t="n">
        <v>11</v>
      </c>
      <c r="L5" s="7" t="n">
        <v>0</v>
      </c>
      <c r="M5" s="12" t="s">
        <v>65</v>
      </c>
    </row>
    <row r="6" customFormat="false" ht="15" hidden="false" customHeight="true" outlineLevel="0" collapsed="false">
      <c r="A6" s="12" t="s">
        <v>66</v>
      </c>
      <c r="B6" s="12" t="s">
        <v>67</v>
      </c>
      <c r="C6" s="7" t="n">
        <v>0</v>
      </c>
      <c r="D6" s="7" t="n">
        <v>0</v>
      </c>
      <c r="E6" s="7" t="n">
        <v>6</v>
      </c>
      <c r="F6" s="7" t="n">
        <v>3</v>
      </c>
      <c r="G6" s="7" t="n">
        <v>10</v>
      </c>
      <c r="H6" s="7" t="n">
        <v>0</v>
      </c>
      <c r="I6" s="7" t="n">
        <v>0</v>
      </c>
      <c r="J6" s="7" t="n">
        <v>6</v>
      </c>
      <c r="K6" s="7" t="n">
        <v>3</v>
      </c>
      <c r="L6" s="7" t="n">
        <v>0</v>
      </c>
      <c r="M6" s="12" t="s">
        <v>68</v>
      </c>
    </row>
    <row r="7" customFormat="false" ht="15" hidden="false" customHeight="true" outlineLevel="0" collapsed="false">
      <c r="A7" s="12" t="s">
        <v>69</v>
      </c>
      <c r="B7" s="12" t="s">
        <v>70</v>
      </c>
      <c r="C7" s="7" t="n">
        <v>0</v>
      </c>
      <c r="D7" s="7" t="n">
        <v>0</v>
      </c>
      <c r="E7" s="7" t="n">
        <v>4</v>
      </c>
      <c r="F7" s="7" t="n">
        <v>0</v>
      </c>
      <c r="G7" s="7" t="n">
        <v>1</v>
      </c>
      <c r="H7" s="7" t="n">
        <v>3</v>
      </c>
      <c r="I7" s="7" t="n">
        <v>0</v>
      </c>
      <c r="J7" s="7" t="n">
        <v>2</v>
      </c>
      <c r="K7" s="7" t="n">
        <v>0</v>
      </c>
      <c r="L7" s="7" t="n">
        <v>0</v>
      </c>
      <c r="M7" s="12" t="s">
        <v>71</v>
      </c>
    </row>
    <row r="8" customFormat="false" ht="15" hidden="false" customHeight="true" outlineLevel="0" collapsed="false">
      <c r="A8" s="12" t="s">
        <v>72</v>
      </c>
      <c r="B8" s="12" t="s">
        <v>73</v>
      </c>
      <c r="C8" s="7" t="n">
        <v>0</v>
      </c>
      <c r="D8" s="7" t="n">
        <v>0</v>
      </c>
      <c r="E8" s="7" t="n">
        <v>7</v>
      </c>
      <c r="F8" s="7" t="n">
        <v>7</v>
      </c>
      <c r="G8" s="7" t="n">
        <v>1</v>
      </c>
      <c r="H8" s="7" t="n">
        <v>0</v>
      </c>
      <c r="I8" s="7" t="n">
        <v>11</v>
      </c>
      <c r="J8" s="7" t="n">
        <v>1</v>
      </c>
      <c r="K8" s="7" t="n">
        <v>12</v>
      </c>
      <c r="L8" s="7" t="n">
        <v>0</v>
      </c>
      <c r="M8" s="12" t="s">
        <v>74</v>
      </c>
    </row>
    <row r="9" customFormat="false" ht="15" hidden="false" customHeight="true" outlineLevel="0" collapsed="false">
      <c r="A9" s="12" t="s">
        <v>75</v>
      </c>
      <c r="B9" s="12" t="s">
        <v>76</v>
      </c>
      <c r="C9" s="7" t="n">
        <v>0</v>
      </c>
      <c r="D9" s="7" t="n">
        <v>0</v>
      </c>
      <c r="E9" s="7" t="n">
        <v>0</v>
      </c>
      <c r="F9" s="7" t="n">
        <v>16</v>
      </c>
      <c r="G9" s="7" t="n">
        <v>6</v>
      </c>
      <c r="H9" s="7" t="n">
        <v>0</v>
      </c>
      <c r="I9" s="7" t="n">
        <v>0</v>
      </c>
      <c r="J9" s="7" t="n">
        <v>6</v>
      </c>
      <c r="K9" s="7" t="n">
        <v>30</v>
      </c>
      <c r="L9" s="7" t="n">
        <v>0</v>
      </c>
      <c r="M9" s="12" t="s">
        <v>77</v>
      </c>
    </row>
    <row r="10" customFormat="false" ht="15" hidden="false" customHeight="true" outlineLevel="0" collapsed="false">
      <c r="A10" s="12" t="s">
        <v>78</v>
      </c>
      <c r="B10" s="12" t="s">
        <v>79</v>
      </c>
      <c r="C10" s="7" t="n">
        <v>0</v>
      </c>
      <c r="D10" s="7" t="n">
        <v>0</v>
      </c>
      <c r="E10" s="7" t="n">
        <v>4</v>
      </c>
      <c r="F10" s="7" t="n">
        <v>1</v>
      </c>
      <c r="G10" s="7" t="n">
        <v>3</v>
      </c>
      <c r="H10" s="7" t="n">
        <v>0</v>
      </c>
      <c r="I10" s="7" t="n">
        <v>0</v>
      </c>
      <c r="J10" s="7" t="n">
        <v>0</v>
      </c>
      <c r="K10" s="7" t="n">
        <v>7</v>
      </c>
      <c r="L10" s="7" t="n">
        <v>0</v>
      </c>
      <c r="M10" s="12" t="s">
        <v>80</v>
      </c>
    </row>
    <row r="11" customFormat="false" ht="15" hidden="false" customHeight="true" outlineLevel="0" collapsed="false">
      <c r="A11" s="12" t="s">
        <v>81</v>
      </c>
      <c r="B11" s="12" t="s">
        <v>82</v>
      </c>
      <c r="C11" s="7" t="n">
        <v>0</v>
      </c>
      <c r="D11" s="7" t="n">
        <v>0</v>
      </c>
      <c r="E11" s="7" t="n">
        <v>13</v>
      </c>
      <c r="F11" s="7" t="n">
        <v>1</v>
      </c>
      <c r="G11" s="7" t="n">
        <v>4</v>
      </c>
      <c r="H11" s="7" t="n">
        <v>0</v>
      </c>
      <c r="I11" s="7" t="n">
        <v>0</v>
      </c>
      <c r="J11" s="7" t="n">
        <v>3</v>
      </c>
      <c r="K11" s="7" t="n">
        <v>10</v>
      </c>
      <c r="L11" s="7" t="n">
        <v>1</v>
      </c>
      <c r="M11" s="12" t="s">
        <v>83</v>
      </c>
    </row>
    <row r="12" customFormat="false" ht="15" hidden="false" customHeight="true" outlineLevel="0" collapsed="false">
      <c r="A12" s="12" t="s">
        <v>84</v>
      </c>
      <c r="B12" s="12" t="s">
        <v>64</v>
      </c>
      <c r="C12" s="7" t="n">
        <v>0</v>
      </c>
      <c r="D12" s="7" t="n">
        <v>0</v>
      </c>
      <c r="E12" s="7" t="n">
        <v>3</v>
      </c>
      <c r="F12" s="7" t="n">
        <v>4</v>
      </c>
      <c r="G12" s="7" t="n">
        <v>0</v>
      </c>
      <c r="H12" s="7" t="n">
        <v>0</v>
      </c>
      <c r="I12" s="7" t="n">
        <v>0</v>
      </c>
      <c r="J12" s="7" t="n">
        <v>1</v>
      </c>
      <c r="K12" s="7" t="n">
        <v>10</v>
      </c>
      <c r="L12" s="7" t="n">
        <v>0</v>
      </c>
      <c r="M12" s="12" t="s">
        <v>85</v>
      </c>
    </row>
    <row r="13" customFormat="false" ht="15" hidden="false" customHeight="true" outlineLevel="0" collapsed="false">
      <c r="A13" s="12" t="s">
        <v>86</v>
      </c>
      <c r="B13" s="12" t="s">
        <v>67</v>
      </c>
      <c r="C13" s="7" t="n">
        <v>0</v>
      </c>
      <c r="D13" s="7" t="n">
        <v>0</v>
      </c>
      <c r="E13" s="7" t="n">
        <v>6</v>
      </c>
      <c r="F13" s="7" t="n">
        <v>3</v>
      </c>
      <c r="G13" s="7" t="n">
        <v>2</v>
      </c>
      <c r="H13" s="7" t="n">
        <v>0</v>
      </c>
      <c r="I13" s="7" t="n">
        <v>0</v>
      </c>
      <c r="J13" s="7" t="n">
        <v>4</v>
      </c>
      <c r="K13" s="7" t="n">
        <v>7</v>
      </c>
      <c r="L13" s="7" t="n">
        <v>1</v>
      </c>
      <c r="M13" s="12" t="s">
        <v>87</v>
      </c>
    </row>
    <row r="14" customFormat="false" ht="15" hidden="false" customHeight="true" outlineLevel="0" collapsed="false">
      <c r="A14" s="12" t="s">
        <v>88</v>
      </c>
      <c r="B14" s="12" t="s">
        <v>70</v>
      </c>
      <c r="C14" s="7" t="n">
        <v>0</v>
      </c>
      <c r="D14" s="7" t="n">
        <v>10</v>
      </c>
      <c r="E14" s="7" t="n">
        <v>0</v>
      </c>
      <c r="F14" s="7" t="n">
        <v>3</v>
      </c>
      <c r="G14" s="7" t="n">
        <v>1</v>
      </c>
      <c r="H14" s="7" t="n">
        <v>0</v>
      </c>
      <c r="I14" s="7" t="n">
        <v>0</v>
      </c>
      <c r="J14" s="7" t="n">
        <v>0</v>
      </c>
      <c r="K14" s="7" t="n">
        <v>10</v>
      </c>
      <c r="L14" s="7" t="n">
        <v>0</v>
      </c>
      <c r="M14" s="12" t="s">
        <v>89</v>
      </c>
    </row>
    <row r="15" customFormat="false" ht="15" hidden="false" customHeight="true" outlineLevel="0" collapsed="false">
      <c r="A15" s="12" t="s">
        <v>90</v>
      </c>
      <c r="B15" s="12" t="s">
        <v>73</v>
      </c>
      <c r="C15" s="7" t="n">
        <v>0</v>
      </c>
      <c r="D15" s="7" t="n">
        <v>4</v>
      </c>
      <c r="E15" s="7" t="n">
        <v>1</v>
      </c>
      <c r="F15" s="7" t="n">
        <v>3</v>
      </c>
      <c r="G15" s="7" t="n">
        <v>1</v>
      </c>
      <c r="H15" s="7" t="n">
        <v>0</v>
      </c>
      <c r="I15" s="7" t="n">
        <v>0</v>
      </c>
      <c r="J15" s="7" t="n">
        <v>2</v>
      </c>
      <c r="K15" s="7" t="n">
        <v>13</v>
      </c>
      <c r="L15" s="7" t="n">
        <v>0</v>
      </c>
      <c r="M15" s="12" t="s">
        <v>91</v>
      </c>
    </row>
    <row r="16" customFormat="false" ht="15" hidden="false" customHeight="true" outlineLevel="0" collapsed="false">
      <c r="A16" s="12" t="s">
        <v>92</v>
      </c>
      <c r="B16" s="12" t="s">
        <v>76</v>
      </c>
      <c r="C16" s="7" t="n">
        <v>0</v>
      </c>
      <c r="D16" s="7" t="n">
        <v>0</v>
      </c>
      <c r="E16" s="7" t="n">
        <v>15</v>
      </c>
      <c r="F16" s="7" t="n">
        <v>0</v>
      </c>
      <c r="G16" s="7" t="n">
        <v>3</v>
      </c>
      <c r="H16" s="7" t="n">
        <v>0</v>
      </c>
      <c r="I16" s="7" t="n">
        <v>0</v>
      </c>
      <c r="J16" s="7" t="n">
        <v>18</v>
      </c>
      <c r="K16" s="7" t="n">
        <v>5</v>
      </c>
      <c r="L16" s="7" t="n">
        <v>1</v>
      </c>
      <c r="M16" s="12" t="s">
        <v>93</v>
      </c>
    </row>
    <row r="17" customFormat="false" ht="15" hidden="false" customHeight="true" outlineLevel="0" collapsed="false">
      <c r="A17" s="12" t="s">
        <v>94</v>
      </c>
      <c r="B17" s="12" t="s">
        <v>79</v>
      </c>
      <c r="C17" s="7" t="n">
        <v>0</v>
      </c>
      <c r="D17" s="7" t="n">
        <v>26</v>
      </c>
      <c r="E17" s="7" t="n">
        <v>1</v>
      </c>
      <c r="F17" s="7" t="n">
        <v>5</v>
      </c>
      <c r="G17" s="7" t="n">
        <v>15</v>
      </c>
      <c r="H17" s="7" t="n">
        <v>0</v>
      </c>
      <c r="I17" s="7" t="n">
        <v>0</v>
      </c>
      <c r="J17" s="7" t="n">
        <v>1</v>
      </c>
      <c r="K17" s="7" t="n">
        <v>0</v>
      </c>
      <c r="L17" s="7" t="n">
        <v>1</v>
      </c>
      <c r="M17" s="12" t="s">
        <v>95</v>
      </c>
    </row>
    <row r="18" customFormat="false" ht="15" hidden="false" customHeight="true" outlineLevel="0" collapsed="false">
      <c r="A18" s="12" t="s">
        <v>96</v>
      </c>
      <c r="B18" s="12" t="s">
        <v>82</v>
      </c>
      <c r="C18" s="7" t="n">
        <v>0</v>
      </c>
      <c r="D18" s="7" t="n">
        <v>1</v>
      </c>
      <c r="E18" s="7" t="n">
        <v>2</v>
      </c>
      <c r="F18" s="7" t="n">
        <v>0</v>
      </c>
      <c r="G18" s="7" t="n">
        <v>0</v>
      </c>
      <c r="H18" s="7" t="n">
        <v>3</v>
      </c>
      <c r="I18" s="7" t="n">
        <v>0</v>
      </c>
      <c r="J18" s="7" t="n">
        <v>1</v>
      </c>
      <c r="K18" s="7" t="n">
        <v>26</v>
      </c>
      <c r="L18" s="7" t="n">
        <v>4</v>
      </c>
      <c r="M18" s="12" t="s">
        <v>97</v>
      </c>
    </row>
    <row r="19" customFormat="false" ht="15" hidden="false" customHeight="true" outlineLevel="0" collapsed="false">
      <c r="A19" s="12" t="s">
        <v>98</v>
      </c>
      <c r="B19" s="12" t="s">
        <v>64</v>
      </c>
      <c r="C19" s="7" t="n">
        <v>0</v>
      </c>
      <c r="D19" s="7" t="n">
        <v>19</v>
      </c>
      <c r="E19" s="7" t="n">
        <v>0</v>
      </c>
      <c r="F19" s="7" t="n">
        <v>0</v>
      </c>
      <c r="G19" s="7" t="n">
        <v>1</v>
      </c>
      <c r="H19" s="7" t="n">
        <v>0</v>
      </c>
      <c r="I19" s="7" t="n">
        <v>0</v>
      </c>
      <c r="J19" s="7" t="n">
        <v>1</v>
      </c>
      <c r="K19" s="7" t="n">
        <v>7</v>
      </c>
      <c r="L19" s="7" t="n">
        <v>0</v>
      </c>
      <c r="M19" s="12" t="s">
        <v>99</v>
      </c>
    </row>
    <row r="20" customFormat="false" ht="15" hidden="false" customHeight="true" outlineLevel="0" collapsed="false">
      <c r="A20" s="12" t="s">
        <v>100</v>
      </c>
      <c r="B20" s="12" t="s">
        <v>67</v>
      </c>
      <c r="C20" s="7" t="n">
        <v>0</v>
      </c>
      <c r="D20" s="7" t="n">
        <v>4</v>
      </c>
      <c r="E20" s="7" t="n">
        <v>15</v>
      </c>
      <c r="F20" s="7" t="n">
        <v>1</v>
      </c>
      <c r="G20" s="7" t="n">
        <v>1</v>
      </c>
      <c r="H20" s="7" t="n">
        <v>0</v>
      </c>
      <c r="I20" s="7" t="n">
        <v>0</v>
      </c>
      <c r="J20" s="7" t="n">
        <v>2</v>
      </c>
      <c r="K20" s="7" t="n">
        <v>28</v>
      </c>
      <c r="L20" s="7" t="n">
        <v>0</v>
      </c>
      <c r="M20" s="12" t="s">
        <v>101</v>
      </c>
    </row>
    <row r="21" customFormat="false" ht="15" hidden="false" customHeight="true" outlineLevel="0" collapsed="false">
      <c r="A21" s="12" t="s">
        <v>102</v>
      </c>
      <c r="B21" s="12" t="s">
        <v>70</v>
      </c>
      <c r="C21" s="7" t="n">
        <v>0</v>
      </c>
      <c r="D21" s="7" t="n">
        <v>0</v>
      </c>
      <c r="E21" s="7" t="n">
        <v>3</v>
      </c>
      <c r="F21" s="7" t="n">
        <v>0</v>
      </c>
      <c r="G21" s="7" t="n">
        <v>0</v>
      </c>
      <c r="H21" s="7" t="n">
        <v>1</v>
      </c>
      <c r="I21" s="7" t="n">
        <v>0</v>
      </c>
      <c r="J21" s="7" t="n">
        <v>1</v>
      </c>
      <c r="K21" s="7" t="n">
        <v>1</v>
      </c>
      <c r="L21" s="7" t="n">
        <v>0</v>
      </c>
      <c r="M21" s="12" t="s">
        <v>103</v>
      </c>
    </row>
    <row r="22" customFormat="false" ht="15" hidden="false" customHeight="true" outlineLevel="0" collapsed="false">
      <c r="A22" s="12" t="s">
        <v>104</v>
      </c>
      <c r="B22" s="12" t="s">
        <v>73</v>
      </c>
      <c r="C22" s="7" t="n">
        <v>0</v>
      </c>
      <c r="D22" s="7" t="n">
        <v>1</v>
      </c>
      <c r="E22" s="7" t="n">
        <v>1</v>
      </c>
      <c r="F22" s="7" t="n">
        <v>10</v>
      </c>
      <c r="G22" s="7" t="n">
        <v>3</v>
      </c>
      <c r="H22" s="7" t="n">
        <v>0</v>
      </c>
      <c r="I22" s="7" t="n">
        <v>0</v>
      </c>
      <c r="J22" s="7" t="n">
        <v>13</v>
      </c>
      <c r="K22" s="7" t="n">
        <v>0</v>
      </c>
      <c r="L22" s="7" t="n">
        <v>0</v>
      </c>
      <c r="M22" s="12" t="s">
        <v>105</v>
      </c>
    </row>
    <row r="23" customFormat="false" ht="15" hidden="false" customHeight="true" outlineLevel="0" collapsed="false">
      <c r="A23" s="12" t="s">
        <v>106</v>
      </c>
      <c r="B23" s="12" t="s">
        <v>76</v>
      </c>
      <c r="C23" s="7" t="n">
        <v>0</v>
      </c>
      <c r="D23" s="7" t="n">
        <v>45</v>
      </c>
      <c r="E23" s="7" t="n">
        <v>0</v>
      </c>
      <c r="F23" s="7" t="n">
        <v>4</v>
      </c>
      <c r="G23" s="7" t="n">
        <v>0</v>
      </c>
      <c r="H23" s="7" t="n">
        <v>0</v>
      </c>
      <c r="I23" s="7" t="n">
        <v>0</v>
      </c>
      <c r="J23" s="7" t="n">
        <v>3</v>
      </c>
      <c r="K23" s="7" t="n">
        <v>1</v>
      </c>
      <c r="L23" s="7" t="n">
        <v>15</v>
      </c>
      <c r="M23" s="12" t="s">
        <v>107</v>
      </c>
    </row>
    <row r="24" customFormat="false" ht="15" hidden="false" customHeight="true" outlineLevel="0" collapsed="false">
      <c r="A24" s="12" t="s">
        <v>108</v>
      </c>
      <c r="B24" s="12" t="s">
        <v>79</v>
      </c>
      <c r="C24" s="7" t="n">
        <v>0</v>
      </c>
      <c r="D24" s="7" t="n">
        <v>0</v>
      </c>
      <c r="E24" s="7" t="n">
        <v>0</v>
      </c>
      <c r="F24" s="7" t="n">
        <v>4</v>
      </c>
      <c r="G24" s="7" t="n">
        <v>0</v>
      </c>
      <c r="H24" s="7" t="n">
        <v>0</v>
      </c>
      <c r="I24" s="7" t="n">
        <v>0</v>
      </c>
      <c r="J24" s="7" t="n">
        <v>3</v>
      </c>
      <c r="K24" s="7" t="n">
        <v>4</v>
      </c>
      <c r="L24" s="7" t="n">
        <v>18</v>
      </c>
      <c r="M24" s="12" t="s">
        <v>109</v>
      </c>
    </row>
    <row r="25" customFormat="false" ht="15" hidden="false" customHeight="true" outlineLevel="0" collapsed="false">
      <c r="A25" s="12" t="s">
        <v>110</v>
      </c>
      <c r="B25" s="12" t="s">
        <v>82</v>
      </c>
      <c r="C25" s="7" t="n">
        <v>0</v>
      </c>
      <c r="D25" s="7" t="n">
        <v>0</v>
      </c>
      <c r="E25" s="7" t="n">
        <v>1</v>
      </c>
      <c r="F25" s="7" t="n">
        <v>8</v>
      </c>
      <c r="G25" s="7" t="n">
        <v>0</v>
      </c>
      <c r="H25" s="7" t="n">
        <v>3</v>
      </c>
      <c r="I25" s="7" t="n">
        <v>0</v>
      </c>
      <c r="J25" s="7" t="n">
        <v>7</v>
      </c>
      <c r="K25" s="7" t="n">
        <v>24</v>
      </c>
      <c r="L25" s="7" t="n">
        <v>0</v>
      </c>
      <c r="M25" s="12" t="s">
        <v>111</v>
      </c>
    </row>
    <row r="26" customFormat="false" ht="15" hidden="false" customHeight="true" outlineLevel="0" collapsed="false">
      <c r="A26" s="12" t="s">
        <v>112</v>
      </c>
      <c r="B26" s="12" t="s">
        <v>64</v>
      </c>
      <c r="C26" s="7" t="n">
        <v>0</v>
      </c>
      <c r="D26" s="7" t="n">
        <v>1</v>
      </c>
      <c r="E26" s="7" t="n">
        <v>0</v>
      </c>
      <c r="F26" s="7" t="n">
        <v>4</v>
      </c>
      <c r="G26" s="7" t="n">
        <v>10</v>
      </c>
      <c r="H26" s="7" t="n">
        <v>0</v>
      </c>
      <c r="I26" s="7" t="n">
        <v>0</v>
      </c>
      <c r="J26" s="7" t="n">
        <v>4</v>
      </c>
      <c r="K26" s="7" t="n">
        <v>3</v>
      </c>
      <c r="L26" s="7" t="n">
        <v>0</v>
      </c>
      <c r="M26" s="12" t="s">
        <v>113</v>
      </c>
    </row>
    <row r="27" customFormat="false" ht="15" hidden="false" customHeight="true" outlineLevel="0" collapsed="false">
      <c r="A27" s="12" t="s">
        <v>114</v>
      </c>
      <c r="B27" s="12" t="s">
        <v>67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6</v>
      </c>
      <c r="H27" s="7" t="n">
        <v>0</v>
      </c>
      <c r="I27" s="7" t="n">
        <v>0</v>
      </c>
      <c r="J27" s="7" t="n">
        <v>3</v>
      </c>
      <c r="K27" s="7" t="n">
        <v>4</v>
      </c>
      <c r="L27" s="7" t="n">
        <v>0</v>
      </c>
      <c r="M27" s="12" t="s">
        <v>115</v>
      </c>
    </row>
    <row r="28" customFormat="false" ht="15" hidden="false" customHeight="true" outlineLevel="0" collapsed="false">
      <c r="A28" s="12" t="s">
        <v>116</v>
      </c>
      <c r="B28" s="12" t="s">
        <v>70</v>
      </c>
      <c r="C28" s="7" t="n">
        <v>0</v>
      </c>
      <c r="D28" s="7" t="n">
        <v>0</v>
      </c>
      <c r="E28" s="7" t="n">
        <v>1</v>
      </c>
      <c r="F28" s="7" t="n">
        <v>0</v>
      </c>
      <c r="G28" s="7" t="n">
        <v>1</v>
      </c>
      <c r="H28" s="7" t="n">
        <v>0</v>
      </c>
      <c r="I28" s="7" t="n">
        <v>0</v>
      </c>
      <c r="J28" s="7" t="n">
        <v>1</v>
      </c>
      <c r="K28" s="7" t="n">
        <v>12</v>
      </c>
      <c r="L28" s="7" t="n">
        <v>0</v>
      </c>
      <c r="M28" s="12" t="s">
        <v>117</v>
      </c>
    </row>
    <row r="29" customFormat="false" ht="15" hidden="false" customHeight="true" outlineLevel="0" collapsed="false">
      <c r="A29" s="12" t="s">
        <v>118</v>
      </c>
      <c r="B29" s="12" t="s">
        <v>73</v>
      </c>
      <c r="C29" s="7" t="n">
        <v>0</v>
      </c>
      <c r="D29" s="7" t="n">
        <v>1</v>
      </c>
      <c r="E29" s="7" t="n">
        <v>10</v>
      </c>
      <c r="F29" s="7" t="n">
        <v>1</v>
      </c>
      <c r="G29" s="7" t="n">
        <v>0</v>
      </c>
      <c r="H29" s="7" t="n">
        <v>0</v>
      </c>
      <c r="I29" s="7" t="n">
        <v>0</v>
      </c>
      <c r="J29" s="7" t="n">
        <v>11</v>
      </c>
      <c r="K29" s="7" t="n">
        <v>9</v>
      </c>
      <c r="L29" s="7" t="n">
        <v>1</v>
      </c>
      <c r="M29" s="12" t="s">
        <v>119</v>
      </c>
    </row>
    <row r="30" customFormat="false" ht="15" hidden="false" customHeight="true" outlineLevel="0" collapsed="false">
      <c r="A30" s="12" t="s">
        <v>120</v>
      </c>
      <c r="B30" s="12" t="s">
        <v>76</v>
      </c>
      <c r="C30" s="7" t="n">
        <v>0</v>
      </c>
      <c r="D30" s="7" t="n">
        <v>0</v>
      </c>
      <c r="E30" s="7" t="n">
        <v>25</v>
      </c>
      <c r="F30" s="7" t="n">
        <v>25</v>
      </c>
      <c r="G30" s="7" t="n">
        <v>6</v>
      </c>
      <c r="H30" s="7" t="n">
        <v>0</v>
      </c>
      <c r="I30" s="7" t="n">
        <v>0</v>
      </c>
      <c r="J30" s="7" t="n">
        <v>15</v>
      </c>
      <c r="K30" s="7" t="n">
        <v>7</v>
      </c>
      <c r="L30" s="7" t="n">
        <v>0</v>
      </c>
      <c r="M30" s="12" t="s">
        <v>121</v>
      </c>
    </row>
    <row r="31" customFormat="false" ht="15" hidden="false" customHeight="true" outlineLevel="0" collapsed="false">
      <c r="A31" s="12" t="s">
        <v>122</v>
      </c>
      <c r="B31" s="12" t="s">
        <v>79</v>
      </c>
      <c r="C31" s="7" t="n">
        <v>0</v>
      </c>
      <c r="D31" s="7" t="n">
        <v>0</v>
      </c>
      <c r="E31" s="7" t="n">
        <v>2</v>
      </c>
      <c r="F31" s="7" t="n">
        <v>15</v>
      </c>
      <c r="G31" s="7" t="n">
        <v>0</v>
      </c>
      <c r="H31" s="7" t="n">
        <v>0</v>
      </c>
      <c r="I31" s="7" t="n">
        <v>0</v>
      </c>
      <c r="J31" s="7" t="n">
        <v>1</v>
      </c>
      <c r="K31" s="7" t="n">
        <v>6</v>
      </c>
      <c r="L31" s="7" t="n">
        <v>0</v>
      </c>
      <c r="M31" s="12" t="s">
        <v>123</v>
      </c>
    </row>
    <row r="32" customFormat="false" ht="15" hidden="false" customHeight="true" outlineLevel="0" collapsed="false">
      <c r="A32" s="12" t="s">
        <v>124</v>
      </c>
      <c r="B32" s="12" t="s">
        <v>82</v>
      </c>
      <c r="C32" s="7" t="n">
        <v>0</v>
      </c>
      <c r="D32" s="7" t="n">
        <v>0</v>
      </c>
      <c r="E32" s="7" t="n">
        <v>7</v>
      </c>
      <c r="F32" s="7" t="n">
        <v>6</v>
      </c>
      <c r="G32" s="7" t="n">
        <v>0</v>
      </c>
      <c r="H32" s="7" t="n">
        <v>1</v>
      </c>
      <c r="I32" s="7" t="n">
        <v>0</v>
      </c>
      <c r="J32" s="7" t="n">
        <v>7</v>
      </c>
      <c r="K32" s="7" t="n">
        <v>5</v>
      </c>
      <c r="L32" s="7" t="n">
        <v>0</v>
      </c>
      <c r="M32" s="12" t="s">
        <v>125</v>
      </c>
    </row>
    <row r="33" customFormat="false" ht="15" hidden="false" customHeight="true" outlineLevel="0" collapsed="false">
      <c r="A33" s="12" t="s">
        <v>126</v>
      </c>
      <c r="B33" s="12" t="s">
        <v>64</v>
      </c>
      <c r="C33" s="7" t="n">
        <v>0</v>
      </c>
      <c r="D33" s="7" t="n">
        <v>4</v>
      </c>
      <c r="E33" s="7" t="n">
        <v>7</v>
      </c>
      <c r="F33" s="7" t="n">
        <v>3</v>
      </c>
      <c r="G33" s="7" t="n">
        <v>1</v>
      </c>
      <c r="H33" s="7" t="n">
        <v>0</v>
      </c>
      <c r="I33" s="7" t="n">
        <v>0</v>
      </c>
      <c r="J33" s="7" t="n">
        <v>5</v>
      </c>
      <c r="K33" s="7" t="n">
        <v>14</v>
      </c>
      <c r="L33" s="7" t="n">
        <v>10</v>
      </c>
      <c r="M33" s="12" t="s">
        <v>127</v>
      </c>
    </row>
    <row r="34" customFormat="false" ht="15" hidden="false" customHeight="true" outlineLevel="0" collapsed="false">
      <c r="A34" s="12" t="s">
        <v>128</v>
      </c>
      <c r="B34" s="12" t="s">
        <v>67</v>
      </c>
      <c r="C34" s="7" t="n">
        <v>0</v>
      </c>
      <c r="D34" s="7" t="n">
        <v>10</v>
      </c>
      <c r="E34" s="7" t="n">
        <v>1</v>
      </c>
      <c r="F34" s="7" t="n">
        <v>3</v>
      </c>
      <c r="G34" s="7" t="n">
        <v>1</v>
      </c>
      <c r="H34" s="7" t="n">
        <v>0</v>
      </c>
      <c r="I34" s="7" t="n">
        <v>0</v>
      </c>
      <c r="J34" s="7" t="n">
        <v>12</v>
      </c>
      <c r="K34" s="7" t="n">
        <v>13</v>
      </c>
      <c r="L34" s="7" t="n">
        <v>0</v>
      </c>
      <c r="M34" s="12" t="s">
        <v>129</v>
      </c>
    </row>
    <row r="35" customFormat="false" ht="15" hidden="false" customHeight="true" outlineLevel="0" collapsed="false">
      <c r="A35" s="12" t="s">
        <v>130</v>
      </c>
      <c r="B35" s="12" t="s">
        <v>70</v>
      </c>
      <c r="C35" s="7" t="n">
        <v>0</v>
      </c>
      <c r="D35" s="7" t="n">
        <v>1</v>
      </c>
      <c r="E35" s="7" t="n">
        <v>0</v>
      </c>
      <c r="F35" s="7" t="n">
        <v>0</v>
      </c>
      <c r="G35" s="7" t="n">
        <v>1</v>
      </c>
      <c r="H35" s="7" t="n">
        <v>3</v>
      </c>
      <c r="I35" s="7" t="n">
        <v>0</v>
      </c>
      <c r="J35" s="7" t="n">
        <v>1</v>
      </c>
      <c r="K35" s="7" t="n">
        <v>4</v>
      </c>
      <c r="L35" s="7" t="n">
        <v>0</v>
      </c>
      <c r="M35" s="12" t="s">
        <v>131</v>
      </c>
    </row>
    <row r="36" customFormat="false" ht="15" hidden="false" customHeight="true" outlineLevel="0" collapsed="false">
      <c r="A36" s="12" t="s">
        <v>132</v>
      </c>
      <c r="B36" s="12" t="s">
        <v>73</v>
      </c>
      <c r="C36" s="7" t="n">
        <v>0</v>
      </c>
      <c r="D36" s="7" t="n">
        <v>0</v>
      </c>
      <c r="E36" s="7" t="n">
        <v>15</v>
      </c>
      <c r="F36" s="7" t="n">
        <v>15</v>
      </c>
      <c r="G36" s="7" t="n">
        <v>0</v>
      </c>
      <c r="H36" s="7" t="n">
        <v>0</v>
      </c>
      <c r="I36" s="7" t="n">
        <v>0</v>
      </c>
      <c r="J36" s="7" t="n">
        <v>20</v>
      </c>
      <c r="K36" s="7" t="n">
        <v>11</v>
      </c>
      <c r="L36" s="7" t="n">
        <v>0</v>
      </c>
      <c r="M36" s="12" t="s">
        <v>133</v>
      </c>
    </row>
    <row r="37" customFormat="false" ht="15" hidden="false" customHeight="true" outlineLevel="0" collapsed="false">
      <c r="A37" s="12" t="s">
        <v>134</v>
      </c>
      <c r="B37" s="12" t="s">
        <v>76</v>
      </c>
      <c r="C37" s="7" t="n">
        <v>0</v>
      </c>
      <c r="D37" s="7" t="n">
        <v>25</v>
      </c>
      <c r="E37" s="7" t="n">
        <v>10</v>
      </c>
      <c r="F37" s="7" t="n">
        <v>3</v>
      </c>
      <c r="G37" s="7" t="n">
        <v>3</v>
      </c>
      <c r="H37" s="7" t="n">
        <v>1</v>
      </c>
      <c r="I37" s="7" t="n">
        <v>0</v>
      </c>
      <c r="J37" s="7" t="n">
        <v>14</v>
      </c>
      <c r="K37" s="7" t="n">
        <v>3</v>
      </c>
      <c r="L37" s="7" t="n">
        <v>0</v>
      </c>
      <c r="M37" s="12" t="s">
        <v>135</v>
      </c>
    </row>
    <row r="38" customFormat="false" ht="15" hidden="false" customHeight="true" outlineLevel="0" collapsed="false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</row>
    <row r="39" customFormat="false" ht="15" hidden="false" customHeight="true" outlineLevel="0" collapsed="false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</row>
    <row r="40" customFormat="false" ht="15" hidden="false" customHeight="true" outlineLevel="0" collapsed="false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</row>
    <row r="41" customFormat="false" ht="15" hidden="false" customHeight="true" outlineLevel="0" collapsed="false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</row>
    <row r="42" customFormat="false" ht="15" hidden="false" customHeight="true" outlineLevel="0" collapsed="false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</row>
    <row r="43" customFormat="false" ht="15" hidden="false" customHeight="true" outlineLevel="0" collapsed="false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</row>
    <row r="44" customFormat="false" ht="15" hidden="false" customHeight="true" outlineLevel="0" collapsed="false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</row>
    <row r="45" customFormat="false" ht="15" hidden="false" customHeight="true" outlineLevel="0" collapsed="false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</row>
    <row r="46" customFormat="false" ht="15" hidden="false" customHeight="true" outlineLevel="0" collapsed="false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</row>
    <row r="47" customFormat="false" ht="15" hidden="false" customHeight="true" outlineLevel="0" collapsed="false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customFormat="false" ht="15" hidden="false" customHeight="true" outlineLevel="0" collapsed="false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customFormat="false" ht="15" hidden="false" customHeight="true" outlineLevel="0" collapsed="false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</row>
    <row r="50" customFormat="false" ht="15" hidden="false" customHeight="true" outlineLevel="0" collapsed="false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</row>
    <row r="51" customFormat="false" ht="15" hidden="false" customHeight="true" outlineLevel="0" collapsed="false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</row>
    <row r="52" customFormat="false" ht="15" hidden="false" customHeight="true" outlineLevel="0" collapsed="false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5" min="5" style="1" width="10"/>
    <col collapsed="false" customWidth="true" hidden="false" outlineLevel="0" max="6" min="6" style="1" width="60"/>
  </cols>
  <sheetData>
    <row r="1" customFormat="false" ht="18" hidden="false" customHeight="true" outlineLevel="0" collapsed="false">
      <c r="A1" s="2" t="s">
        <v>136</v>
      </c>
    </row>
    <row r="2" customFormat="false" ht="15" hidden="false" customHeight="true" outlineLevel="0" collapsed="false">
      <c r="A2" s="3" t="s">
        <v>137</v>
      </c>
    </row>
    <row r="4" customFormat="false" ht="15" hidden="false" customHeight="true" outlineLevel="0" collapsed="false">
      <c r="A4" s="10" t="s">
        <v>138</v>
      </c>
      <c r="D4" s="10" t="s">
        <v>139</v>
      </c>
    </row>
    <row r="5" customFormat="false" ht="15" hidden="false" customHeight="true" outlineLevel="0" collapsed="false">
      <c r="A5" s="4" t="s">
        <v>140</v>
      </c>
      <c r="B5" s="4" t="s">
        <v>141</v>
      </c>
      <c r="D5" s="4" t="s">
        <v>142</v>
      </c>
      <c r="E5" s="4" t="s">
        <v>140</v>
      </c>
      <c r="F5" s="4" t="s">
        <v>141</v>
      </c>
      <c r="G5" s="4" t="s">
        <v>143</v>
      </c>
    </row>
    <row r="6" customFormat="false" ht="15" hidden="false" customHeight="true" outlineLevel="0" collapsed="false">
      <c r="A6" s="7" t="s">
        <v>144</v>
      </c>
      <c r="B6" s="7" t="n">
        <v>300</v>
      </c>
      <c r="D6" s="12" t="s">
        <v>145</v>
      </c>
      <c r="E6" s="7" t="s">
        <v>146</v>
      </c>
      <c r="F6" s="7" t="n">
        <v>5</v>
      </c>
      <c r="G6" s="7" t="s">
        <v>147</v>
      </c>
    </row>
    <row r="7" customFormat="false" ht="15" hidden="false" customHeight="true" outlineLevel="0" collapsed="false">
      <c r="A7" s="7" t="s">
        <v>148</v>
      </c>
      <c r="B7" s="7" t="n">
        <v>100</v>
      </c>
      <c r="D7" s="12" t="s">
        <v>149</v>
      </c>
      <c r="E7" s="7" t="s">
        <v>146</v>
      </c>
      <c r="F7" s="7" t="n">
        <v>5</v>
      </c>
      <c r="G7" s="7" t="s">
        <v>150</v>
      </c>
    </row>
    <row r="8" customFormat="false" ht="15" hidden="false" customHeight="true" outlineLevel="0" collapsed="false">
      <c r="A8" s="7" t="s">
        <v>151</v>
      </c>
      <c r="B8" s="7" t="n">
        <v>75</v>
      </c>
      <c r="D8" s="12" t="s">
        <v>152</v>
      </c>
      <c r="E8" s="7" t="s">
        <v>153</v>
      </c>
      <c r="F8" s="7" t="n">
        <v>2</v>
      </c>
      <c r="G8" s="7" t="s">
        <v>147</v>
      </c>
    </row>
    <row r="9" customFormat="false" ht="15" hidden="false" customHeight="true" outlineLevel="0" collapsed="false">
      <c r="A9" s="7" t="s">
        <v>154</v>
      </c>
      <c r="B9" s="7" t="n">
        <v>40</v>
      </c>
      <c r="D9" s="12" t="s">
        <v>155</v>
      </c>
      <c r="E9" s="7" t="s">
        <v>156</v>
      </c>
      <c r="F9" s="7" t="n">
        <v>1</v>
      </c>
      <c r="G9" s="7" t="s">
        <v>147</v>
      </c>
    </row>
    <row r="10" customFormat="false" ht="15" hidden="false" customHeight="true" outlineLevel="0" collapsed="false">
      <c r="A10" s="7" t="s">
        <v>157</v>
      </c>
      <c r="B10" s="7" t="n">
        <v>20</v>
      </c>
      <c r="D10" s="12" t="s">
        <v>158</v>
      </c>
      <c r="E10" s="7" t="s">
        <v>156</v>
      </c>
      <c r="F10" s="7" t="n">
        <v>1</v>
      </c>
      <c r="G10" s="7" t="s">
        <v>147</v>
      </c>
    </row>
    <row r="11" customFormat="false" ht="15" hidden="false" customHeight="true" outlineLevel="0" collapsed="false">
      <c r="A11" s="7" t="s">
        <v>146</v>
      </c>
      <c r="B11" s="7" t="n">
        <v>5</v>
      </c>
      <c r="D11" s="5" t="s">
        <v>159</v>
      </c>
      <c r="E11" s="9"/>
      <c r="F11" s="5" t="n">
        <f aca="false">SUM(F6:F10)</f>
        <v>14</v>
      </c>
      <c r="G11" s="9"/>
    </row>
    <row r="12" customFormat="false" ht="15" hidden="false" customHeight="true" outlineLevel="0" collapsed="false">
      <c r="A12" s="7" t="s">
        <v>153</v>
      </c>
      <c r="B12" s="7" t="n">
        <v>2</v>
      </c>
    </row>
    <row r="13" customFormat="false" ht="15" hidden="false" customHeight="true" outlineLevel="0" collapsed="false">
      <c r="A13" s="7" t="s">
        <v>156</v>
      </c>
      <c r="B13" s="7" t="n">
        <v>1</v>
      </c>
    </row>
    <row r="16" customFormat="false" ht="15" hidden="false" customHeight="true" outlineLevel="0" collapsed="false">
      <c r="A16" s="10" t="s">
        <v>160</v>
      </c>
    </row>
    <row r="17" customFormat="false" ht="15" hidden="false" customHeight="true" outlineLevel="0" collapsed="false">
      <c r="A17" s="4" t="s">
        <v>161</v>
      </c>
      <c r="B17" s="4" t="s">
        <v>60</v>
      </c>
      <c r="C17" s="4" t="s">
        <v>162</v>
      </c>
      <c r="D17" s="4" t="s">
        <v>163</v>
      </c>
      <c r="E17" s="4" t="s">
        <v>3</v>
      </c>
      <c r="F17" s="4" t="s">
        <v>62</v>
      </c>
    </row>
    <row r="18" customFormat="false" ht="15" hidden="false" customHeight="true" outlineLevel="0" collapsed="false">
      <c r="A18" s="12" t="s">
        <v>164</v>
      </c>
      <c r="B18" s="7" t="s">
        <v>165</v>
      </c>
      <c r="C18" s="7" t="n">
        <v>0</v>
      </c>
      <c r="D18" s="7" t="n">
        <v>0</v>
      </c>
      <c r="E18" s="7" t="n">
        <v>0</v>
      </c>
      <c r="F18" s="12" t="s">
        <v>166</v>
      </c>
    </row>
    <row r="19" customFormat="false" ht="15" hidden="false" customHeight="true" outlineLevel="0" collapsed="false">
      <c r="A19" s="12" t="s">
        <v>167</v>
      </c>
      <c r="B19" s="7" t="s">
        <v>168</v>
      </c>
      <c r="C19" s="7" t="n">
        <v>0</v>
      </c>
      <c r="D19" s="7" t="n">
        <v>0</v>
      </c>
      <c r="E19" s="7" t="n">
        <v>0</v>
      </c>
      <c r="F19" s="12" t="s">
        <v>166</v>
      </c>
    </row>
    <row r="20" customFormat="false" ht="15" hidden="false" customHeight="true" outlineLevel="0" collapsed="false">
      <c r="A20" s="12" t="s">
        <v>169</v>
      </c>
      <c r="B20" s="7" t="s">
        <v>170</v>
      </c>
      <c r="C20" s="7" t="n">
        <v>1</v>
      </c>
      <c r="D20" s="7" t="n">
        <v>0</v>
      </c>
      <c r="E20" s="7" t="n">
        <v>1</v>
      </c>
      <c r="F20" s="12" t="s">
        <v>171</v>
      </c>
    </row>
    <row r="21" customFormat="false" ht="15" hidden="false" customHeight="true" outlineLevel="0" collapsed="false">
      <c r="A21" s="12" t="s">
        <v>172</v>
      </c>
      <c r="B21" s="7" t="s">
        <v>173</v>
      </c>
      <c r="C21" s="7" t="n">
        <v>20</v>
      </c>
      <c r="D21" s="7" t="n">
        <v>0</v>
      </c>
      <c r="E21" s="7" t="n">
        <v>20</v>
      </c>
      <c r="F21" s="12" t="s">
        <v>174</v>
      </c>
    </row>
    <row r="22" customFormat="false" ht="15" hidden="false" customHeight="true" outlineLevel="0" collapsed="false">
      <c r="A22" s="12" t="s">
        <v>175</v>
      </c>
      <c r="B22" s="7" t="s">
        <v>176</v>
      </c>
      <c r="C22" s="7" t="n">
        <v>9</v>
      </c>
      <c r="D22" s="7" t="n">
        <v>5</v>
      </c>
      <c r="E22" s="7" t="n">
        <v>14</v>
      </c>
      <c r="F22" s="12" t="s">
        <v>177</v>
      </c>
    </row>
    <row r="23" customFormat="false" ht="15" hidden="false" customHeight="true" outlineLevel="0" collapsed="false">
      <c r="A23" s="12" t="s">
        <v>178</v>
      </c>
      <c r="B23" s="7"/>
      <c r="C23" s="7" t="n">
        <f aca="false">SUM(C18:C22)</f>
        <v>30</v>
      </c>
      <c r="D23" s="7" t="n">
        <f aca="false">SUM(D18:D22)</f>
        <v>5</v>
      </c>
      <c r="E23" s="7" t="n">
        <f aca="false">SUM(E18:E22)</f>
        <v>35</v>
      </c>
      <c r="F23" s="12" t="s">
        <v>179</v>
      </c>
    </row>
    <row r="25" customFormat="false" ht="15" hidden="false" customHeight="true" outlineLevel="0" collapsed="false">
      <c r="A25" s="10" t="s">
        <v>180</v>
      </c>
    </row>
    <row r="26" customFormat="false" ht="15" hidden="false" customHeight="true" outlineLevel="0" collapsed="false">
      <c r="A26" s="11" t="s">
        <v>181</v>
      </c>
    </row>
    <row r="27" customFormat="false" ht="15" hidden="false" customHeight="true" outlineLevel="0" collapsed="false">
      <c r="A27" s="11" t="s">
        <v>182</v>
      </c>
    </row>
    <row r="28" customFormat="false" ht="15" hidden="false" customHeight="true" outlineLevel="0" collapsed="false">
      <c r="A28" s="11" t="s">
        <v>183</v>
      </c>
    </row>
    <row r="29" customFormat="false" ht="15" hidden="false" customHeight="true" outlineLevel="0" collapsed="false">
      <c r="A29" s="11" t="s">
        <v>184</v>
      </c>
    </row>
    <row r="30" customFormat="false" ht="15" hidden="false" customHeight="true" outlineLevel="0" collapsed="false">
      <c r="A30" s="11" t="s">
        <v>185</v>
      </c>
    </row>
    <row r="33" customFormat="false" ht="15" hidden="false" customHeight="true" outlineLevel="0" collapsed="false">
      <c r="A33" s="10" t="s">
        <v>186</v>
      </c>
    </row>
    <row r="34" customFormat="false" ht="15" hidden="false" customHeight="true" outlineLevel="0" collapsed="false">
      <c r="A34" s="11" t="s">
        <v>187</v>
      </c>
    </row>
    <row r="35" customFormat="false" ht="15" hidden="false" customHeight="true" outlineLevel="0" collapsed="false">
      <c r="A35" s="11" t="s">
        <v>188</v>
      </c>
    </row>
    <row r="36" customFormat="false" ht="15" hidden="false" customHeight="true" outlineLevel="0" collapsed="false">
      <c r="A36" s="11"/>
    </row>
    <row r="37" customFormat="false" ht="15" hidden="false" customHeight="true" outlineLevel="0" collapsed="false">
      <c r="A37" s="11" t="s">
        <v>189</v>
      </c>
    </row>
    <row r="38" customFormat="false" ht="15" hidden="false" customHeight="true" outlineLevel="0" collapsed="false">
      <c r="A38" s="11" t="s">
        <v>190</v>
      </c>
    </row>
    <row r="39" customFormat="false" ht="15" hidden="false" customHeight="true" outlineLevel="0" collapsed="false">
      <c r="A39" s="11" t="s">
        <v>191</v>
      </c>
    </row>
    <row r="40" customFormat="false" ht="15" hidden="false" customHeight="true" outlineLevel="0" collapsed="false">
      <c r="A40" s="11"/>
    </row>
    <row r="41" customFormat="false" ht="15" hidden="false" customHeight="true" outlineLevel="0" collapsed="false">
      <c r="A41" s="11" t="s">
        <v>192</v>
      </c>
    </row>
    <row r="42" customFormat="false" ht="15" hidden="false" customHeight="true" outlineLevel="0" collapsed="false">
      <c r="A42" s="11" t="s">
        <v>193</v>
      </c>
    </row>
    <row r="43" customFormat="false" ht="15" hidden="false" customHeight="true" outlineLevel="0" collapsed="false">
      <c r="A43" s="11" t="s">
        <v>194</v>
      </c>
    </row>
    <row r="44" customFormat="false" ht="15" hidden="false" customHeight="true" outlineLevel="0" collapsed="false">
      <c r="A44" s="11"/>
    </row>
    <row r="45" customFormat="false" ht="15" hidden="false" customHeight="true" outlineLevel="0" collapsed="false">
      <c r="A45" s="11" t="s">
        <v>195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2026-09-05T03:55:20Z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