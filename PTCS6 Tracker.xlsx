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PTCS-PTM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5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888888"/>
      <sz val="10"/>
    </font>
    <font>
      <name val="Arial"/>
      <charset val="1"/>
      <family val="0"/>
      <b val="1"/>
      <sz val="12"/>
    </font>
    <font>
      <name val="Arial"/>
      <charset val="1"/>
      <family val="0"/>
      <color rgb="FF444444"/>
      <sz val="10"/>
    </font>
  </fonts>
  <fills count="3">
    <fill>
      <patternFill/>
    </fill>
    <fill>
      <patternFill patternType="gray125"/>
    </fill>
    <fill>
      <patternFill patternType="solid">
        <fgColor rgb="FF1F3B57"/>
        <bgColor rgb="FF4444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B57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3" min="1" max="1"/>
    <col width="9" customWidth="1" style="13" min="2" max="2"/>
    <col width="13" customWidth="1" style="13" min="3" max="3"/>
    <col width="8" customWidth="1" style="13" min="4" max="4"/>
    <col width="10" customWidth="1" style="13" min="5" max="5"/>
    <col width="9" customWidth="1" style="13" min="6" max="6"/>
    <col width="17" customWidth="1" style="13" min="7" max="7"/>
    <col width="16" customWidth="1" style="13" min="8" max="8"/>
  </cols>
  <sheetData>
    <row r="1" ht="18" customHeight="1" s="14">
      <c r="A1" s="15" t="inlineStr">
        <is>
          <t>PTCS 6 — All 10 Categories (Aug 3 – Sep 6)</t>
        </is>
      </c>
    </row>
    <row r="2" ht="15" customHeight="1" s="14">
      <c r="A2" s="16" t="inlineStr">
        <is>
          <t>5-week period. Targets = CWhit's Projected QP (read 2026-09-02). His current-128 column is the live cutoff as of the Aug 31 dump.</t>
        </is>
      </c>
    </row>
    <row r="4" ht="15" customHeight="1" s="14">
      <c r="A4" s="17" t="inlineStr">
        <is>
          <t>Category</t>
        </is>
      </c>
      <c r="B4" s="17" t="inlineStr">
        <is>
          <t>Total</t>
        </is>
      </c>
      <c r="C4" s="17" t="inlineStr">
        <is>
          <t>Target (CWhit proj)</t>
        </is>
      </c>
      <c r="D4" s="17" t="inlineStr">
        <is>
          <t>Gap</t>
        </is>
      </c>
      <c r="E4" s="17" t="inlineStr">
        <is>
          <t>Per week</t>
        </is>
      </c>
      <c r="F4" s="17" t="inlineStr">
        <is>
          <t>Per day</t>
        </is>
      </c>
      <c r="G4" s="17" t="inlineStr">
        <is>
          <t>PTCS5 result</t>
        </is>
      </c>
      <c r="H4" s="17" t="inlineStr">
        <is>
          <t>Status</t>
        </is>
      </c>
    </row>
    <row r="5" ht="15" customHeight="1" s="14">
      <c r="A5" s="18" t="inlineStr">
        <is>
          <t>Iron</t>
        </is>
      </c>
      <c r="B5" s="19">
        <f>SUM('Daily Log'!C5:C52)</f>
        <v/>
      </c>
      <c r="C5" s="20" t="n">
        <v>127</v>
      </c>
      <c r="D5" s="20">
        <f>MAX(0,C5-B5)</f>
        <v/>
      </c>
      <c r="E5" s="20">
        <f>ROUND(D5/5,1)</f>
        <v/>
      </c>
      <c r="F5" s="20">
        <f>ROUND(D5/35,1)</f>
        <v/>
      </c>
      <c r="G5" s="21" t="inlineStr">
        <is>
          <t>—</t>
        </is>
      </c>
      <c r="H5" s="22">
        <f>IF(B5&gt;=C5,"QUALIFIED","+"&amp;TEXT(D5,"0")&amp;" to go")</f>
        <v/>
      </c>
    </row>
    <row r="6" ht="15" customHeight="1" s="14">
      <c r="A6" s="18" t="inlineStr">
        <is>
          <t>Bronze</t>
        </is>
      </c>
      <c r="B6" s="19">
        <f>SUM('Daily Log'!D5:D52)</f>
        <v/>
      </c>
      <c r="C6" s="20" t="n">
        <v>133</v>
      </c>
      <c r="D6" s="20">
        <f>MAX(0,C6-B6)</f>
        <v/>
      </c>
      <c r="E6" s="20">
        <f>ROUND(D6/5,1)</f>
        <v/>
      </c>
      <c r="F6" s="20">
        <f>ROUND(D6/35,1)</f>
        <v/>
      </c>
      <c r="G6" s="21" t="inlineStr">
        <is>
          <t>—</t>
        </is>
      </c>
      <c r="H6" s="22">
        <f>IF(B6&gt;=C6,"QUALIFIED","+"&amp;TEXT(D6,"0")&amp;" to go")</f>
        <v/>
      </c>
    </row>
    <row r="7" ht="15" customHeight="1" s="14">
      <c r="A7" s="18" t="inlineStr">
        <is>
          <t>Silver</t>
        </is>
      </c>
      <c r="B7" s="19">
        <f>SUM('Daily Log'!E5:E52)</f>
        <v/>
      </c>
      <c r="C7" s="20" t="n">
        <v>119</v>
      </c>
      <c r="D7" s="20">
        <f>MAX(0,C7-B7)</f>
        <v/>
      </c>
      <c r="E7" s="20">
        <f>ROUND(D7/5,1)</f>
        <v/>
      </c>
      <c r="F7" s="20">
        <f>ROUND(D7/35,1)</f>
        <v/>
      </c>
      <c r="G7" s="21" t="inlineStr">
        <is>
          <t>87 (missed 16)</t>
        </is>
      </c>
      <c r="H7" s="22">
        <f>IF(B7&gt;=C7,"QUALIFIED","+"&amp;TEXT(D7,"0")&amp;" to go")</f>
        <v/>
      </c>
    </row>
    <row r="8" ht="15" customHeight="1" s="14">
      <c r="A8" s="18" t="inlineStr">
        <is>
          <t>Gold</t>
        </is>
      </c>
      <c r="B8" s="19">
        <f>SUM('Daily Log'!F5:F52)</f>
        <v/>
      </c>
      <c r="C8" s="20" t="n">
        <v>114</v>
      </c>
      <c r="D8" s="20">
        <f>MAX(0,C8-B8)</f>
        <v/>
      </c>
      <c r="E8" s="20">
        <f>ROUND(D8/5,1)</f>
        <v/>
      </c>
      <c r="F8" s="20">
        <f>ROUND(D8/35,1)</f>
        <v/>
      </c>
      <c r="G8" s="21" t="inlineStr">
        <is>
          <t>119 ✅</t>
        </is>
      </c>
      <c r="H8" s="22">
        <f>IF(B8&gt;=C8,"QUALIFIED","+"&amp;TEXT(D8,"0")&amp;" to go")</f>
        <v/>
      </c>
    </row>
    <row r="9" ht="15" customHeight="1" s="14">
      <c r="A9" s="18" t="inlineStr">
        <is>
          <t>Diamond</t>
        </is>
      </c>
      <c r="B9" s="19">
        <f>SUM('Daily Log'!G5:G52)</f>
        <v/>
      </c>
      <c r="C9" s="20" t="n">
        <v>99</v>
      </c>
      <c r="D9" s="20">
        <f>MAX(0,C9-B9)</f>
        <v/>
      </c>
      <c r="E9" s="20">
        <f>ROUND(D9/5,1)</f>
        <v/>
      </c>
      <c r="F9" s="20">
        <f>ROUND(D9/35,1)</f>
        <v/>
      </c>
      <c r="G9" s="21" t="inlineStr">
        <is>
          <t>283 ✅</t>
        </is>
      </c>
      <c r="H9" s="22">
        <f>IF(B9&gt;=C9,"QUALIFIED","+"&amp;TEXT(D9,"0")&amp;" to go")</f>
        <v/>
      </c>
    </row>
    <row r="10" ht="15" customHeight="1" s="14">
      <c r="A10" s="18" t="inlineStr">
        <is>
          <t>Open</t>
        </is>
      </c>
      <c r="B10" s="19">
        <f>SUM('Daily Log'!H5:H52)</f>
        <v/>
      </c>
      <c r="C10" s="20" t="n">
        <v>120</v>
      </c>
      <c r="D10" s="20">
        <f>MAX(0,C10-B10)</f>
        <v/>
      </c>
      <c r="E10" s="20">
        <f>ROUND(D10/5,1)</f>
        <v/>
      </c>
      <c r="F10" s="20">
        <f>ROUND(D10/35,1)</f>
        <v/>
      </c>
      <c r="G10" s="21" t="inlineStr">
        <is>
          <t>14 (not chased)</t>
        </is>
      </c>
      <c r="H10" s="22">
        <f>IF(B10&gt;=C10,"QUALIFIED","+"&amp;TEXT(D10,"0")&amp;" to go")</f>
        <v/>
      </c>
    </row>
    <row r="11" ht="15" customHeight="1" s="14">
      <c r="A11" s="18" t="inlineStr">
        <is>
          <t>Live</t>
        </is>
      </c>
      <c r="B11" s="19">
        <f>SUM('Daily Log'!I5:I52)</f>
        <v/>
      </c>
      <c r="C11" s="20" t="n">
        <v>175</v>
      </c>
      <c r="D11" s="20">
        <f>MAX(0,C11-B11)</f>
        <v/>
      </c>
      <c r="E11" s="20">
        <f>ROUND(D11/5,1)</f>
        <v/>
      </c>
      <c r="F11" s="20">
        <f>ROUND(D11/35,1)</f>
        <v/>
      </c>
      <c r="G11" s="21" t="inlineStr">
        <is>
          <t>165 ✅</t>
        </is>
      </c>
      <c r="H11" s="22">
        <f>IF(B11&gt;=C11,"QUALIFIED","+"&amp;TEXT(D11,"0")&amp;" to go")</f>
        <v/>
      </c>
    </row>
    <row r="12" ht="15" customHeight="1" s="14">
      <c r="A12" s="18" t="inlineStr">
        <is>
          <t>Cap</t>
        </is>
      </c>
      <c r="B12" s="19">
        <f>SUM('Daily Log'!J5:J52)</f>
        <v/>
      </c>
      <c r="C12" s="20" t="n">
        <v>161</v>
      </c>
      <c r="D12" s="20">
        <f>MAX(0,C12-B12)</f>
        <v/>
      </c>
      <c r="E12" s="20">
        <f>ROUND(D12/5,1)</f>
        <v/>
      </c>
      <c r="F12" s="20">
        <f>ROUND(D12/35,1)</f>
        <v/>
      </c>
      <c r="G12" s="21" t="inlineStr">
        <is>
          <t>171 ✅</t>
        </is>
      </c>
      <c r="H12" s="22">
        <f>IF(B12&gt;=C12,"QUALIFIED","+"&amp;TEXT(D12,"0")&amp;" to go")</f>
        <v/>
      </c>
    </row>
    <row r="13" ht="15" customHeight="1" s="14">
      <c r="A13" s="18" t="inlineStr">
        <is>
          <t>PD Daily</t>
        </is>
      </c>
      <c r="B13" s="19">
        <f>SUM('Daily Log'!K5:K52)</f>
        <v/>
      </c>
      <c r="C13" s="20" t="n">
        <v>347</v>
      </c>
      <c r="D13" s="20">
        <f>MAX(0,C13-B13)</f>
        <v/>
      </c>
      <c r="E13" s="20">
        <f>ROUND(D13/5,1)</f>
        <v/>
      </c>
      <c r="F13" s="20">
        <f>ROUND(D13/35,1)</f>
        <v/>
      </c>
      <c r="G13" s="21" t="inlineStr">
        <is>
          <t>403 ✅</t>
        </is>
      </c>
      <c r="H13" s="22">
        <f>IF(B13&gt;=C13,"QUALIFIED","+"&amp;TEXT(D13,"0")&amp;" to go")</f>
        <v/>
      </c>
    </row>
    <row r="14" ht="15" customHeight="1" s="14">
      <c r="A14" s="18" t="inlineStr">
        <is>
          <t>PD Weekly</t>
        </is>
      </c>
      <c r="B14" s="19">
        <f>SUM('Daily Log'!L5:L52)</f>
        <v/>
      </c>
      <c r="C14" s="20" t="n">
        <v>92</v>
      </c>
      <c r="D14" s="20">
        <f>MAX(0,C14-B14)</f>
        <v/>
      </c>
      <c r="E14" s="20">
        <f>ROUND(D14/5,1)</f>
        <v/>
      </c>
      <c r="F14" s="20">
        <f>ROUND(D14/35,1)</f>
        <v/>
      </c>
      <c r="G14" s="21" t="inlineStr">
        <is>
          <t>17 (not chased)</t>
        </is>
      </c>
      <c r="H14" s="22">
        <f>IF(B14&gt;=C14,"QUALIFIED","+"&amp;TEXT(D14,"0")&amp;" to go")</f>
        <v/>
      </c>
    </row>
    <row r="17" ht="15" customHeight="1" s="14">
      <c r="A17" s="23" t="inlineStr">
        <is>
          <t>HOW TO COVER 10 CATEGORIES ON 4 TOURNEYS + 3 DRAFTS A DAY</t>
        </is>
      </c>
    </row>
    <row r="18" ht="15" customHeight="1" s="14">
      <c r="A18" s="24" t="inlineStr">
        <is>
          <t>• FEASIBILITY: you need 1,523 pts over 35 days = 43.5/day across 10 categories.</t>
        </is>
      </c>
    </row>
    <row r="19" ht="15" customHeight="1" s="14">
      <c r="A19" s="24" t="inlineStr">
        <is>
          <t xml:space="preserve">   In PTCS 5 you produced 43.9/day across just 6. THE CAPACITY IS ALREADY THERE.</t>
        </is>
      </c>
    </row>
    <row r="20" ht="15" customHeight="1" s="14">
      <c r="A20" s="24" t="inlineStr">
        <is>
          <t xml:space="preserve">   This is a REDISTRIBUTION problem, not an effort problem.</t>
        </is>
      </c>
    </row>
    <row r="21" ht="15" customHeight="1" s="14">
      <c r="A21" s="24" t="n"/>
    </row>
    <row r="22" ht="15" customHeight="1" s="14">
      <c r="A22" s="24" t="inlineStr">
        <is>
          <t>PTCS 5 OVERKILL — 418 points spent above the cutoff:</t>
        </is>
      </c>
    </row>
    <row r="23" ht="15" customHeight="1" s="14">
      <c r="A23" s="24" t="inlineStr">
        <is>
          <t xml:space="preserve">      Diamond  283 vs  81 needed   = +202 wasted</t>
        </is>
      </c>
    </row>
    <row r="24" ht="15" customHeight="1" s="14">
      <c r="A24" s="24" t="inlineStr">
        <is>
          <t xml:space="preserve">      PD Daily 403 vs 267 needed   = +136 wasted</t>
        </is>
      </c>
    </row>
    <row r="25" ht="15" customHeight="1" s="14">
      <c r="A25" s="24" t="inlineStr">
        <is>
          <t xml:space="preserve">      Gold/Cap/Live                = +80 combined</t>
        </is>
      </c>
    </row>
    <row r="26" ht="15" customHeight="1" s="14">
      <c r="A26" s="24" t="inlineStr">
        <is>
          <t xml:space="preserve">   That Diamond surplus alone is roughly Iron + Bronze targets COMBINED.</t>
        </is>
      </c>
    </row>
    <row r="27" ht="15" customHeight="1" s="14">
      <c r="A27" s="24" t="n"/>
    </row>
    <row r="28" ht="15" customHeight="1" s="14">
      <c r="A28" s="24" t="inlineStr">
        <is>
          <t>• THE RULE: once a category clears its target, STOP feeding it and move those entries to a laggard.</t>
        </is>
      </c>
    </row>
    <row r="29" ht="15" customHeight="1" s="14">
      <c r="A29" s="24" t="inlineStr">
        <is>
          <t xml:space="preserve">   Check the Gap column daily. Anything at 0 = redirect.</t>
        </is>
      </c>
    </row>
    <row r="30" ht="15" customHeight="1" s="14">
      <c r="A30" s="24" t="n"/>
    </row>
    <row r="31" ht="15" customHeight="1" s="14">
      <c r="A31" s="24" t="inlineStr">
        <is>
          <t>• SLOTS: the 4-tournament cap is CONCURRENT, not daily. Events fire on fixed times all day and free</t>
        </is>
      </c>
    </row>
    <row r="32" ht="15" customHeight="1" s="14">
      <c r="A32" s="24" t="inlineStr">
        <is>
          <t xml:space="preserve">   the slot, so you can run 10-15 tournaments/day. Keep all 4 slots full at all times — an idle</t>
        </is>
      </c>
    </row>
    <row r="33" ht="15" customHeight="1" s="14">
      <c r="A33" s="24" t="inlineStr">
        <is>
          <t xml:space="preserve">   slot is the only real waste.</t>
        </is>
      </c>
    </row>
    <row r="34" ht="15" customHeight="1" s="14">
      <c r="A34" s="24" t="n"/>
    </row>
    <row r="35" ht="15" customHeight="1" s="14">
      <c r="A35" s="24" t="inlineStr">
        <is>
          <t>MULTI-TAG EVENTS still do the heavy lifting:</t>
        </is>
      </c>
    </row>
    <row r="36" ht="15" customHeight="1" s="14">
      <c r="A36" s="24" t="inlineStr">
        <is>
          <t xml:space="preserve">   • 'Daily Live &lt;Tier&gt;'   -&gt; that Tier + LIVE   (Live Iron/Bronze/Silver/Gold/Diamond/Open)</t>
        </is>
      </c>
    </row>
    <row r="37" ht="15" customHeight="1" s="14">
      <c r="A37" s="24" t="inlineStr">
        <is>
          <t xml:space="preserve">   • '&lt;Tier&gt; Cap' / 'Slots'-&gt; that Tier + CAP    (Iron Cap, Bronze Cap, Silver Slots, Gold Slots, Diamond Slots, Open High Cap)</t>
        </is>
      </c>
    </row>
    <row r="38" ht="15" customHeight="1" s="14">
      <c r="A38" s="24" t="inlineStr">
        <is>
          <t xml:space="preserve">   • Live DRAFTS           -&gt; PD Daily + LIVE    (Live Breakfast / Speed Run / All Night / Don't Forget)</t>
        </is>
      </c>
    </row>
    <row r="39" ht="15" customHeight="1" s="14">
      <c r="A39" s="24" t="inlineStr">
        <is>
          <t xml:space="preserve">   -&gt; Live and Cap should never need a dedicated slot; they ride along on everything.</t>
        </is>
      </c>
    </row>
    <row r="40" ht="15" customHeight="1" s="14">
      <c r="A40" s="24" t="n"/>
    </row>
    <row r="41" ht="15" customHeight="1" s="14">
      <c r="A41" s="24" t="inlineStr">
        <is>
          <t>• DAILY SHAPE: keep 4 slots full, rotating tiers so Iron/Bronze/Silver/Gold/Diamond/Open each get</t>
        </is>
      </c>
    </row>
    <row r="42" ht="15" customHeight="1" s="14">
      <c r="A42" s="24" t="inlineStr">
        <is>
          <t xml:space="preserve">   2-3 entries a day. Prefer the Live-&lt;tier&gt; and &lt;tier&gt;-Cap variants over the plain version -</t>
        </is>
      </c>
    </row>
    <row r="43" ht="15" customHeight="1" s="14">
      <c r="A43" s="24" t="inlineStr">
        <is>
          <t xml:space="preserve">   same effort, two categories.</t>
        </is>
      </c>
    </row>
    <row r="44" ht="15" customHeight="1" s="14">
      <c r="A44" s="24" t="n"/>
    </row>
    <row r="45" ht="15" customHeight="1" s="14">
      <c r="A45" s="24" t="inlineStr">
        <is>
          <t>LESSONS FROM PTCS 5 (5 of 6 berths):</t>
        </is>
      </c>
    </row>
    <row r="46" ht="15" customHeight="1" s="14">
      <c r="A46" s="24" t="inlineStr">
        <is>
          <t xml:space="preserve">   • Start every category DAY ONE - Silver missed by 16 only because it began in week 3.</t>
        </is>
      </c>
    </row>
    <row r="47" ht="15" customHeight="1" s="14">
      <c r="A47" s="24" t="inlineStr">
        <is>
          <t xml:space="preserve">   • Points are convex: a WIN in a 64 = 25 pts, 17th-32nd = 1. Deep runs &gt;&gt; volume.</t>
        </is>
      </c>
    </row>
    <row r="48" ht="15" customHeight="1" s="14">
      <c r="A48" s="24" t="inlineStr">
        <is>
          <t xml:space="preserve">   • Best EV events: Diamonds are Forever 4.46/entry, Diamond &amp; Friends Slots 3.93, Daily Diamond 2.77.</t>
        </is>
      </c>
    </row>
    <row r="49" ht="15" customHeight="1" s="14">
      <c r="A49" s="24" t="inlineStr">
        <is>
          <t xml:space="preserve">   • You convert better in 64-team fields (2.72/entry vs 1.75 in 128s), but 128s pay ~50% more at</t>
        </is>
      </c>
    </row>
    <row r="50" ht="15" customHeight="1" s="14">
      <c r="A50" s="24" t="inlineStr">
        <is>
          <t xml:space="preserve">     the top - take 128s when you NEED a big score, 64s when accumulating.</t>
        </is>
      </c>
    </row>
    <row r="51" ht="15" customHeight="1" s="14">
      <c r="A51" s="24" t="inlineStr">
        <is>
          <t xml:space="preserve">   • Fields do NOT soften late in a period (verified across 6,175 tournaments) - no reason to wait.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6" customWidth="1" style="13" min="2" max="2"/>
    <col width="8" customWidth="1" style="13" min="3" max="6"/>
    <col width="9" customWidth="1" style="13" min="7" max="7"/>
    <col width="8" customWidth="1" style="13" min="8" max="10"/>
    <col width="10" customWidth="1" style="13" min="11" max="12"/>
    <col width="52" customWidth="1" style="13" min="13" max="13"/>
  </cols>
  <sheetData>
    <row r="1" ht="18" customHeight="1" s="14">
      <c r="A1" s="15" t="inlineStr">
        <is>
          <t>PTCS 6 — Daily Log (Aug 3 – Sep 6)</t>
        </is>
      </c>
    </row>
    <row r="2" ht="15" customHeight="1" s="14">
      <c r="A2" s="16" t="inlineStr">
        <is>
          <t>All 10 categories. 5-week period. Enter points earned per day.</t>
        </is>
      </c>
    </row>
    <row r="4" ht="15" customHeight="1" s="14">
      <c r="A4" s="17" t="inlineStr">
        <is>
          <t>Date</t>
        </is>
      </c>
      <c r="B4" s="17" t="inlineStr">
        <is>
          <t>Day</t>
        </is>
      </c>
      <c r="C4" s="17" t="inlineStr">
        <is>
          <t>Iron</t>
        </is>
      </c>
      <c r="D4" s="17" t="inlineStr">
        <is>
          <t>Bronze</t>
        </is>
      </c>
      <c r="E4" s="17" t="inlineStr">
        <is>
          <t>Silver</t>
        </is>
      </c>
      <c r="F4" s="17" t="inlineStr">
        <is>
          <t>Gold</t>
        </is>
      </c>
      <c r="G4" s="17" t="inlineStr">
        <is>
          <t>Diamond</t>
        </is>
      </c>
      <c r="H4" s="17" t="inlineStr">
        <is>
          <t>Open</t>
        </is>
      </c>
      <c r="I4" s="17" t="inlineStr">
        <is>
          <t>Live</t>
        </is>
      </c>
      <c r="J4" s="17" t="inlineStr">
        <is>
          <t>Cap</t>
        </is>
      </c>
      <c r="K4" s="17" t="inlineStr">
        <is>
          <t>PD Daily</t>
        </is>
      </c>
      <c r="L4" s="17" t="inlineStr">
        <is>
          <t>PD Weekly</t>
        </is>
      </c>
      <c r="M4" s="17" t="inlineStr">
        <is>
          <t>Notes</t>
        </is>
      </c>
    </row>
    <row r="5" ht="15" customHeight="1" s="14">
      <c r="A5" s="25" t="inlineStr">
        <is>
          <t>Mon Aug 3</t>
        </is>
      </c>
      <c r="B5" s="25" t="inlineStr">
        <is>
          <t>Mon</t>
        </is>
      </c>
      <c r="C5" s="20" t="n">
        <v>0</v>
      </c>
      <c r="D5" s="20" t="n">
        <v>0</v>
      </c>
      <c r="E5" s="20" t="n">
        <v>4</v>
      </c>
      <c r="F5" s="20" t="n">
        <v>1</v>
      </c>
      <c r="G5" s="20" t="n">
        <v>45</v>
      </c>
      <c r="H5" s="20" t="n">
        <v>1</v>
      </c>
      <c r="I5" s="20" t="n">
        <v>1</v>
      </c>
      <c r="J5" s="20" t="n">
        <v>31</v>
      </c>
      <c r="K5" s="20" t="n">
        <v>11</v>
      </c>
      <c r="L5" s="20" t="n">
        <v>0</v>
      </c>
      <c r="M5" s="25" t="inlineStr">
        <is>
          <t>HUGE: D&amp;Friends Slots WINNER +25 Dia/+25 Cap; Diamond Heart 2nd +20 Dia; Meeting 3/4 +10 PDD; Deadball 9-16 +3S/+3C</t>
        </is>
      </c>
    </row>
    <row r="6" ht="15" customHeight="1" s="14">
      <c r="A6" s="25" t="inlineStr">
        <is>
          <t>Tue Aug 4</t>
        </is>
      </c>
      <c r="B6" s="25" t="inlineStr">
        <is>
          <t>Tue</t>
        </is>
      </c>
      <c r="C6" s="20" t="n">
        <v>0</v>
      </c>
      <c r="D6" s="20" t="n">
        <v>0</v>
      </c>
      <c r="E6" s="20" t="n">
        <v>6</v>
      </c>
      <c r="F6" s="20" t="n">
        <v>3</v>
      </c>
      <c r="G6" s="20" t="n">
        <v>10</v>
      </c>
      <c r="H6" s="20" t="n">
        <v>0</v>
      </c>
      <c r="I6" s="20" t="n">
        <v>0</v>
      </c>
      <c r="J6" s="20" t="n">
        <v>6</v>
      </c>
      <c r="K6" s="20" t="n">
        <v>3</v>
      </c>
      <c r="L6" s="20" t="n">
        <v>0</v>
      </c>
      <c r="M6" s="25" t="inlineStr">
        <is>
          <t>Deadball Slots 5-8 +6S/+6C; Diamond Heart 5-8 +10D; Early Gold 17-32 +3G; Struggling 9-16 +3P</t>
        </is>
      </c>
    </row>
    <row r="7" ht="15" customHeight="1" s="14">
      <c r="A7" s="25" t="inlineStr">
        <is>
          <t>Wed Aug 5</t>
        </is>
      </c>
      <c r="B7" s="25" t="inlineStr">
        <is>
          <t>Wed</t>
        </is>
      </c>
      <c r="C7" s="20" t="n">
        <v>0</v>
      </c>
      <c r="D7" s="20" t="n">
        <v>0</v>
      </c>
      <c r="E7" s="20" t="n">
        <v>4</v>
      </c>
      <c r="F7" s="20" t="n">
        <v>0</v>
      </c>
      <c r="G7" s="20" t="n">
        <v>1</v>
      </c>
      <c r="H7" s="20" t="n">
        <v>3</v>
      </c>
      <c r="I7" s="20" t="n">
        <v>0</v>
      </c>
      <c r="J7" s="20" t="n">
        <v>2</v>
      </c>
      <c r="K7" s="20" t="n">
        <v>0</v>
      </c>
      <c r="L7" s="20" t="n">
        <v>0</v>
      </c>
      <c r="M7" s="25" t="inlineStr">
        <is>
          <t>quiet - all 17-32s. Open OPENED +3 (Night of Living Deadball)</t>
        </is>
      </c>
    </row>
    <row r="8" ht="15" customHeight="1" s="14">
      <c r="A8" s="25" t="inlineStr">
        <is>
          <t>Thu Aug 6</t>
        </is>
      </c>
      <c r="B8" s="25" t="inlineStr">
        <is>
          <t>Thu</t>
        </is>
      </c>
      <c r="C8" s="20" t="n">
        <v>0</v>
      </c>
      <c r="D8" s="20" t="n">
        <v>0</v>
      </c>
      <c r="E8" s="20" t="n">
        <v>7</v>
      </c>
      <c r="F8" s="20" t="n">
        <v>7</v>
      </c>
      <c r="G8" s="20" t="n">
        <v>1</v>
      </c>
      <c r="H8" s="20" t="n">
        <v>0</v>
      </c>
      <c r="I8" s="20" t="n">
        <v>11</v>
      </c>
      <c r="J8" s="20" t="n">
        <v>1</v>
      </c>
      <c r="K8" s="20" t="n">
        <v>12</v>
      </c>
      <c r="L8" s="20" t="n">
        <v>0</v>
      </c>
      <c r="M8" s="25" t="inlineStr">
        <is>
          <t>BIG: Live Speed Run 3/4 +10L/+10P; Late Silver 9-16 +6S; Low Gold Retro 5-8 +6G; Sporer's Golden 17-32 +1G; Deadball Slots 17-32 +1S/+1C; Trying to Look Busy 17-32 +1P; Diamond Heart 33-64 +1D. Live All Night 17-32 +1L/+1P (earlier)</t>
        </is>
      </c>
    </row>
    <row r="9" ht="15" customHeight="1" s="14">
      <c r="A9" s="25" t="inlineStr">
        <is>
          <t>Fri Aug 7</t>
        </is>
      </c>
      <c r="B9" s="25" t="inlineStr">
        <is>
          <t>Fri</t>
        </is>
      </c>
      <c r="C9" s="20" t="n">
        <v>0</v>
      </c>
      <c r="D9" s="20" t="n">
        <v>0</v>
      </c>
      <c r="E9" s="20" t="n">
        <v>0</v>
      </c>
      <c r="F9" s="20" t="n">
        <v>16</v>
      </c>
      <c r="G9" s="20" t="n">
        <v>6</v>
      </c>
      <c r="H9" s="20" t="n">
        <v>0</v>
      </c>
      <c r="I9" s="20" t="n">
        <v>0</v>
      </c>
      <c r="J9" s="20" t="n">
        <v>6</v>
      </c>
      <c r="K9" s="20" t="n">
        <v>30</v>
      </c>
      <c r="L9" s="20" t="n">
        <v>0</v>
      </c>
      <c r="M9" s="25" t="inlineStr">
        <is>
          <t>BEST DAY: Nocturnal Mixed Bag WINNER +25 PDD; Low Gold Retro 3/4 +10G; Golden Heart 5-8 +6G; D&amp;Friends Slots 9-16 +3D/+3C; Diamond Slots 9-16 +3D/+3C; Historical Primetime 9-16 +3P; Pizza for Dinner + Look Busy 17-32 +1P each. SILVER BLANKED. Live All Night 33-64 = 0. Thursday Overnight (PD Weekly) ELIMINATED - placement unknown, unscored</t>
        </is>
      </c>
    </row>
    <row r="10" ht="15" customHeight="1" s="14">
      <c r="A10" s="25" t="inlineStr">
        <is>
          <t>Sat Aug 8</t>
        </is>
      </c>
      <c r="B10" s="25" t="inlineStr">
        <is>
          <t>Sat</t>
        </is>
      </c>
      <c r="C10" s="20" t="n">
        <v>0</v>
      </c>
      <c r="D10" s="20" t="n">
        <v>0</v>
      </c>
      <c r="E10" s="20" t="n">
        <v>4</v>
      </c>
      <c r="F10" s="20" t="n">
        <v>1</v>
      </c>
      <c r="G10" s="20" t="n">
        <v>3</v>
      </c>
      <c r="H10" s="20" t="n">
        <v>0</v>
      </c>
      <c r="I10" s="20" t="n">
        <v>0</v>
      </c>
      <c r="J10" s="20" t="n">
        <v>0</v>
      </c>
      <c r="K10" s="20" t="n">
        <v>7</v>
      </c>
      <c r="L10" s="20" t="n">
        <v>0</v>
      </c>
      <c r="M10" s="25" t="inlineStr">
        <is>
          <t>Just Order Pizza 5-8 +6P; Late Silver 17-32 +3S; Diamond Heart 17-32 +3D; Slamboree 33-64 +1S; Golden Heart 17-32 +1G; Look Busy 17-32 +1P. PTCS 5 PLAYED (see PTCS-PTMS sheet)</t>
        </is>
      </c>
    </row>
    <row r="11" ht="15" customHeight="1" s="14">
      <c r="A11" s="25" t="inlineStr">
        <is>
          <t>Sun Aug 9</t>
        </is>
      </c>
      <c r="B11" s="25" t="inlineStr">
        <is>
          <t>Sun</t>
        </is>
      </c>
      <c r="C11" s="20" t="n">
        <v>0</v>
      </c>
      <c r="D11" s="20" t="n">
        <v>0</v>
      </c>
      <c r="E11" s="20" t="n">
        <v>13</v>
      </c>
      <c r="F11" s="20" t="n">
        <v>1</v>
      </c>
      <c r="G11" s="20" t="n">
        <v>4</v>
      </c>
      <c r="H11" s="20" t="n">
        <v>0</v>
      </c>
      <c r="I11" s="20" t="n">
        <v>0</v>
      </c>
      <c r="J11" s="20" t="n">
        <v>3</v>
      </c>
      <c r="K11" s="20" t="n">
        <v>10</v>
      </c>
      <c r="L11" s="20" t="n">
        <v>1</v>
      </c>
      <c r="M11" s="25" t="inlineStr">
        <is>
          <t>SILVER BREAKS OUT +13: Late Silver 5-8 (128) +10S; Silver Heart 9-16 +3S. Good Orderly Evening 3/4 +10P; Diamond Slots 9-16 +3D/+3C. FIRST PD WEEKLY POINT: Up and Down the Ladder 33-64 +1. Early Gold 33-64 +1G; Diamond Heart 17-32 +1D</t>
        </is>
      </c>
    </row>
    <row r="12" ht="15" customHeight="1" s="14">
      <c r="A12" s="25" t="inlineStr">
        <is>
          <t>Mon Aug 10</t>
        </is>
      </c>
      <c r="B12" s="25" t="inlineStr">
        <is>
          <t>Mon</t>
        </is>
      </c>
      <c r="C12" s="20" t="n">
        <v>0</v>
      </c>
      <c r="D12" s="20" t="n">
        <v>0</v>
      </c>
      <c r="E12" s="20" t="n">
        <v>3</v>
      </c>
      <c r="F12" s="20" t="n">
        <v>4</v>
      </c>
      <c r="G12" s="20" t="n">
        <v>0</v>
      </c>
      <c r="H12" s="20" t="n">
        <v>0</v>
      </c>
      <c r="I12" s="20" t="n">
        <v>0</v>
      </c>
      <c r="J12" s="20" t="n">
        <v>1</v>
      </c>
      <c r="K12" s="20" t="n">
        <v>10</v>
      </c>
      <c r="L12" s="20" t="n">
        <v>0</v>
      </c>
      <c r="M12" s="25" t="inlineStr">
        <is>
          <t>Late Silver 17-32 (128) +3S; Golden Heart 9-16 (64) +3G; Just Order Pizza D&amp;G 3/4 (64) +10 PDD; Gold Slots 17-32 (64) +1G/+1C. ZEROS: Diamond Slots 33-64, Low Gold Retro 33-64, Low Diamond 33-64, Struggling to Sleep 33-64, Monday Gold Floor Cap 65-128 (128), Monday Wonky Historical Slots 65-128 (128). Monday Night History Lesson (PD Weekly, 256) ELIMINATED - placement unknown, unscored</t>
        </is>
      </c>
    </row>
    <row r="13" ht="15" customHeight="1" s="14">
      <c r="A13" s="25" t="inlineStr">
        <is>
          <t>Tue Aug 11</t>
        </is>
      </c>
      <c r="B13" s="25" t="inlineStr">
        <is>
          <t>Tue</t>
        </is>
      </c>
      <c r="C13" s="20" t="n">
        <v>0</v>
      </c>
      <c r="D13" s="20" t="n">
        <v>0</v>
      </c>
      <c r="E13" s="20" t="n">
        <v>6</v>
      </c>
      <c r="F13" s="20" t="n">
        <v>3</v>
      </c>
      <c r="G13" s="20" t="n">
        <v>2</v>
      </c>
      <c r="H13" s="20" t="n">
        <v>0</v>
      </c>
      <c r="I13" s="20" t="n">
        <v>0</v>
      </c>
      <c r="J13" s="20" t="n">
        <v>4</v>
      </c>
      <c r="K13" s="20" t="n">
        <v>7</v>
      </c>
      <c r="L13" s="20" t="n">
        <v>1</v>
      </c>
      <c r="M13" s="25" t="inlineStr">
        <is>
          <t>Gold Slots 9-16 (64) +3G/+3C; Late Silver 9-16 (128) +6S; Morning Mixed Bag 3/4 (32) +6 PDD; Low Diamond 17-32 (64) +1D; Diamond Slots 17-32 (64) +1D/+1C; Trying to Look Busy 17-32 (64) +1 PDD; Tuesday Evening Adrenaline Rush 65-128 (256) +1 PD WEEKLY - 2nd PDW pt of the period. ZEROS: Early Gold 65-128 (128), Laptophound 6L Power Play 65-128 (128), Diamond Heart 33-64, OOTP and Chill 33-64, D&amp;Friends Slots 33-64, Golden Heart 33-64, Just Order Pizza 33-64, Goldfather II 33-64</t>
        </is>
      </c>
    </row>
    <row r="14" ht="15" customHeight="1" s="14">
      <c r="A14" s="25" t="inlineStr">
        <is>
          <t>Wed Aug 12</t>
        </is>
      </c>
      <c r="B14" s="25" t="inlineStr">
        <is>
          <t>Wed</t>
        </is>
      </c>
      <c r="C14" s="20" t="n">
        <v>0</v>
      </c>
      <c r="D14" s="20" t="n">
        <v>10</v>
      </c>
      <c r="E14" s="20" t="n">
        <v>0</v>
      </c>
      <c r="F14" s="20" t="n">
        <v>3</v>
      </c>
      <c r="G14" s="20" t="n">
        <v>1</v>
      </c>
      <c r="H14" s="20" t="n">
        <v>0</v>
      </c>
      <c r="I14" s="20" t="n">
        <v>0</v>
      </c>
      <c r="J14" s="20" t="n">
        <v>0</v>
      </c>
      <c r="K14" s="20" t="n">
        <v>10</v>
      </c>
      <c r="L14" s="20" t="n">
        <v>0</v>
      </c>
      <c r="M14" s="25" t="inlineStr">
        <is>
          <t>BRONZE OPENS +10: Bronze The Sequel 5-8 (128). Laptophound 5L Deadball 5-8 (128) +10 PDD; Low Gold Retrospecticus 9-16 (64) +3G; Low Diamond 17-32 (64) +1D. ZEROS: Return of the Bronze 65-128 (128), Trying to Look Busy 33-64 (64)</t>
        </is>
      </c>
    </row>
    <row r="15" ht="15" customHeight="1" s="14">
      <c r="A15" s="25" t="inlineStr">
        <is>
          <t>Thu Aug 13</t>
        </is>
      </c>
      <c r="B15" s="25" t="inlineStr">
        <is>
          <t>Thu</t>
        </is>
      </c>
      <c r="C15" s="20" t="n">
        <v>0</v>
      </c>
      <c r="D15" s="20" t="n">
        <v>4</v>
      </c>
      <c r="E15" s="20" t="n">
        <v>1</v>
      </c>
      <c r="F15" s="20" t="n">
        <v>3</v>
      </c>
      <c r="G15" s="20" t="n">
        <v>1</v>
      </c>
      <c r="H15" s="20" t="n">
        <v>0</v>
      </c>
      <c r="I15" s="20" t="n">
        <v>0</v>
      </c>
      <c r="J15" s="20" t="n">
        <v>2</v>
      </c>
      <c r="K15" s="20" t="n">
        <v>13</v>
      </c>
      <c r="L15" s="20" t="n">
        <v>0</v>
      </c>
      <c r="M15" s="25" t="inlineStr">
        <is>
          <t>Trying to Look Busy D&amp;G 3/4 (64) +10 PDD; Just Order Pizza D&amp;G 9-16 (64) +3 PDD; Golden Heart 9-16 (64) +3G; Bronze The Sequel 17-32 (128) +3B; Return of the Bronze 33-64 (128) +1B; Silver Slots 17-32 (64) +1S/+1C; Diamond Slots 17-32 (64) +1D/+1C. ZEROS: D&amp;Friends Slots 33-64 (64), Silver &amp; Friends Deadball Slots 33-64 (64), CWhit Cap Challenge 4 65-128 (128). Thursday Silver Spectacular (256) + Thursday Overnight Under the Covers (PD Weekly, 256) ELIMINATED - placement unknown, unscored</t>
        </is>
      </c>
    </row>
    <row r="16" ht="15" customHeight="1" s="14">
      <c r="A16" s="25" t="inlineStr">
        <is>
          <t>Fri Aug 14</t>
        </is>
      </c>
      <c r="B16" s="25" t="inlineStr">
        <is>
          <t>Fri</t>
        </is>
      </c>
      <c r="C16" s="20" t="n">
        <v>0</v>
      </c>
      <c r="D16" s="20" t="n">
        <v>0</v>
      </c>
      <c r="E16" s="20" t="n">
        <v>15</v>
      </c>
      <c r="F16" s="20" t="n">
        <v>0</v>
      </c>
      <c r="G16" s="20" t="n">
        <v>3</v>
      </c>
      <c r="H16" s="20" t="n">
        <v>0</v>
      </c>
      <c r="I16" s="20" t="n">
        <v>0</v>
      </c>
      <c r="J16" s="20" t="n">
        <v>18</v>
      </c>
      <c r="K16" s="20" t="n">
        <v>5</v>
      </c>
      <c r="L16" s="20" t="n">
        <v>1</v>
      </c>
      <c r="M16" s="25" t="inlineStr">
        <is>
          <t>SILVER &amp; FRIENDS DEADBALL SLOTS 2nd PLACE (64) +15S/+15C - biggest single result of the period. Friday Draft About Nothing 65-128 (256) +1 PD WEEKLY (3rd PDW pt); Trying to Look Busy D&amp;G 17-32 (64) +1 PDD. ZEROS: Open Slots 33-64 (64), Early Gold 65-128 (128), Low Diamond 33-64 (64), Gold Slots 33-64 (64) | LATE ADDS (2nd screenshot): Diamond Slots 9-16 (64) +3D/+3C; Laptophound 6L Power Play 17-32 (128) +3 PDD; Just Order Pizza D&amp;G 17-32 (64) +1 PDD. Additional zeros: Late Silver 65-128 (128), Golden Heart 33-64 (64)</t>
        </is>
      </c>
    </row>
    <row r="17" ht="15" customHeight="1" s="14">
      <c r="A17" s="25" t="inlineStr">
        <is>
          <t>Sat Aug 15</t>
        </is>
      </c>
      <c r="B17" s="25" t="inlineStr">
        <is>
          <t>Sat</t>
        </is>
      </c>
      <c r="C17" s="20" t="n">
        <v>0</v>
      </c>
      <c r="D17" s="20" t="n">
        <v>26</v>
      </c>
      <c r="E17" s="20" t="n">
        <v>1</v>
      </c>
      <c r="F17" s="20" t="n">
        <v>5</v>
      </c>
      <c r="G17" s="20" t="n">
        <v>15</v>
      </c>
      <c r="H17" s="20" t="n">
        <v>0</v>
      </c>
      <c r="I17" s="20" t="n">
        <v>0</v>
      </c>
      <c r="J17" s="20" t="n">
        <v>1</v>
      </c>
      <c r="K17" s="20" t="n">
        <v>0</v>
      </c>
      <c r="L17" s="20" t="n">
        <v>1</v>
      </c>
      <c r="M17" s="25" t="inlineStr">
        <is>
          <t>LOW BRONZE WINNER (64) +25 BRONZE - first win of the period. Low Gold Retrospecticus 9-16 (64) +3G; Golden Heart 17-32 (64) +1G; Gold Slots 17-32 (64) +1G/+1C; Return of the Bronze 33-64 (128) +1B; TWIPT Saturday Showdown 65-128 (256) +1 PD WEEKLY (4th PDW pt). ZEROS: Bronze The Sequel 65-128 (128) | LATE ADDS: Saturday Diamond Variety 3rd/4th (128) +15 DIAMOND - Dia,TW tags, TW has no standing of its own so Diamond only; Late Silver 33-64 (128) +1S</t>
        </is>
      </c>
    </row>
    <row r="18" ht="15" customHeight="1" s="14">
      <c r="A18" s="25" t="inlineStr">
        <is>
          <t>Sun Aug 16</t>
        </is>
      </c>
      <c r="B18" s="25" t="inlineStr">
        <is>
          <t>Sun</t>
        </is>
      </c>
      <c r="C18" s="20" t="n">
        <v>0</v>
      </c>
      <c r="D18" s="20" t="n">
        <v>1</v>
      </c>
      <c r="E18" s="20" t="n">
        <v>2</v>
      </c>
      <c r="F18" s="20" t="n">
        <v>0</v>
      </c>
      <c r="G18" s="20" t="n">
        <v>0</v>
      </c>
      <c r="H18" s="20" t="n">
        <v>3</v>
      </c>
      <c r="I18" s="20" t="n">
        <v>0</v>
      </c>
      <c r="J18" s="20" t="n">
        <v>1</v>
      </c>
      <c r="K18" s="20" t="n">
        <v>26</v>
      </c>
      <c r="L18" s="20" t="n">
        <v>4</v>
      </c>
      <c r="M18" s="25" t="inlineStr">
        <is>
          <t>OOTP AND CHILL WINNER (64) +25 PD DAILY - 2nd win of the period. BEST PD WEEKLY DAY: Sunday Up and Down the Ladder 17-32 (128) +3 PDW; Sunday PD Main Event 65-128 (256) +1 PDW. Sunday Open Main Event 33-64 (256) +3 OPEN (first Open pts since Aug 5). Laptophound 5L Deadball 33-64 (128) +1 PDD; Low Bronze 17-32 (64) +1B; Late Silver 33-64 (128) +1S; Silver &amp; Friends Deadball Slots 17-32 (64) +1S/+1C. ZEROS: Golden Heart 33-64 (64), Just Order Pizza D&amp;G 33-64 (64), Sunday Open Slots 65-128 (128), Low Gold Retrospecticus 33-64 (64), Sunday High Iron Floor and Gold Ceiling 65-128 (128), Bronze The Sequel 65-128 (128). END OF WEEK 2.</t>
        </is>
      </c>
    </row>
    <row r="19" ht="15" customHeight="1" s="14">
      <c r="A19" s="25" t="inlineStr">
        <is>
          <t>Mon Aug 17</t>
        </is>
      </c>
      <c r="B19" s="25" t="inlineStr">
        <is>
          <t>Mon</t>
        </is>
      </c>
      <c r="C19" s="20" t="n">
        <v>0</v>
      </c>
      <c r="D19" s="20" t="n">
        <v>19</v>
      </c>
      <c r="E19" s="20" t="n">
        <v>0</v>
      </c>
      <c r="F19" s="20" t="n">
        <v>0</v>
      </c>
      <c r="G19" s="20" t="n">
        <v>1</v>
      </c>
      <c r="H19" s="20" t="n">
        <v>0</v>
      </c>
      <c r="I19" s="20" t="n">
        <v>0</v>
      </c>
      <c r="J19" s="20" t="n">
        <v>1</v>
      </c>
      <c r="K19" s="20" t="n">
        <v>7</v>
      </c>
      <c r="L19" s="20" t="n">
        <v>0</v>
      </c>
      <c r="M19" s="25" t="inlineStr">
        <is>
          <t>LOW BRONZE 2nd PLACE (64) +15 BRONZE. Return of the Bronze 17-32 (128) +3B; Bronze The Sequel 33-64 (128) +1B; Laptophound 5L Deadball 17-32 (128) +3 PDD; Struggling to Sleep DBL 9-16 (64) +3 PDD; OOTP and Chill 17-32 (64) +1 PDD; Diamond &amp; Friends Slots 17-32 (64) +1D/+1C. ZEROS: Monday Gold Floor Cap 65-128 (128, Op+Cp), Monday Wonky Historical Slots 65-128 (128, Gld+Cp), Late Silver 65-128 (128), Just Order Pizza D&amp;G 33-64 (64), Doc Rock Derby 33-64 (64), Trying to Look Busy D&amp;G 33-64 (64), Early Gold 65-128 (128)</t>
        </is>
      </c>
    </row>
    <row r="20" ht="15" customHeight="1" s="14">
      <c r="A20" s="25" t="inlineStr">
        <is>
          <t>Tue Aug 18</t>
        </is>
      </c>
      <c r="B20" s="25" t="inlineStr">
        <is>
          <t>Tue</t>
        </is>
      </c>
      <c r="C20" s="20" t="n">
        <v>0</v>
      </c>
      <c r="D20" s="20" t="n">
        <v>4</v>
      </c>
      <c r="E20" s="20" t="n">
        <v>15</v>
      </c>
      <c r="F20" s="20" t="n">
        <v>1</v>
      </c>
      <c r="G20" s="20" t="n">
        <v>1</v>
      </c>
      <c r="H20" s="20" t="n">
        <v>0</v>
      </c>
      <c r="I20" s="20" t="n">
        <v>0</v>
      </c>
      <c r="J20" s="20" t="n">
        <v>2</v>
      </c>
      <c r="K20" s="20" t="n">
        <v>28</v>
      </c>
      <c r="L20" s="20" t="n">
        <v>0</v>
      </c>
      <c r="M20" s="25" t="inlineStr">
        <is>
          <t>THIS COULD VE BEEN AN EMAIL RCK WINNER (64) +25 PD DAILY - 3rd win of the period. Late Silver 3rd/4th (128) +15 SILVER - best Silver result of the period. Bronze The Sequel 17-32 (128) +3B; Nocturnal Mixed Bag 5-8 (32) +3 PDD; Low Bronze 17-32 (64) +1B; Diamond Slots 17-32 (64) +1D/+1C. ZEROS: Mixed Up My Lunch 17-32 (32 - pays 0 there), Just Order Pizza D&amp;G 33-64 (64), Low Gold Retrospecticus 33-64 (64), Early Gold 65-128 (128), Laptophound 5L Deadball 65-128 (128), Bagels and Schmear 33-64 (64), Struggling to Sleep DBL 33-64 (64) | LATE ADD: Tuesday Sporer's Sandlot 33-64 (128, Gld+Cp+TW) +1G/+1C. (Nocturnal Mixed Bag re-appeared in a later screenshot - same event id 2550147, already counted, not double-logged.)</t>
        </is>
      </c>
    </row>
    <row r="21" ht="15" customHeight="1" s="14">
      <c r="A21" s="25" t="inlineStr">
        <is>
          <t>Wed Aug 19</t>
        </is>
      </c>
      <c r="B21" s="25" t="inlineStr">
        <is>
          <t>Wed</t>
        </is>
      </c>
      <c r="C21" s="20" t="n">
        <v>0</v>
      </c>
      <c r="D21" s="20" t="n">
        <v>0</v>
      </c>
      <c r="E21" s="20" t="n">
        <v>3</v>
      </c>
      <c r="F21" s="20" t="n">
        <v>0</v>
      </c>
      <c r="G21" s="20" t="n">
        <v>0</v>
      </c>
      <c r="H21" s="20" t="n">
        <v>1</v>
      </c>
      <c r="I21" s="20" t="n">
        <v>0</v>
      </c>
      <c r="J21" s="20" t="n">
        <v>1</v>
      </c>
      <c r="K21" s="20" t="n">
        <v>1</v>
      </c>
      <c r="L21" s="20" t="n">
        <v>0</v>
      </c>
      <c r="M21" s="25" t="inlineStr">
        <is>
          <t>QUIET DAY - 6 pts, mostly 33-64s. Late Silver 17-32 (128) +3S; Open Slots 17-32 (64) +1 OPEN/+1C; Laptophound 5L Deadball 33-64 (128) +1 PDD. ZEROS: Low Bronze 33-64 (64), Golden Heart 33-64 (64), Just Order Pizza D&amp;G 33-64 (64), Pitchers First 33-64 (64), Early Gold 65-128 (128), Bronze The Sequel 65-128 (128). Wednesday Ice to See You (Dia,TW, 256) ELIMINATED - placement unknown, unscored</t>
        </is>
      </c>
    </row>
    <row r="22" ht="15" customHeight="1" s="14">
      <c r="A22" s="25" t="inlineStr">
        <is>
          <t>Thu Aug 20</t>
        </is>
      </c>
      <c r="B22" s="25" t="inlineStr">
        <is>
          <t>Thu</t>
        </is>
      </c>
      <c r="C22" s="20" t="n">
        <v>0</v>
      </c>
      <c r="D22" s="20" t="n">
        <v>1</v>
      </c>
      <c r="E22" s="20" t="n">
        <v>1</v>
      </c>
      <c r="F22" s="20" t="n">
        <v>10</v>
      </c>
      <c r="G22" s="20" t="n">
        <v>3</v>
      </c>
      <c r="H22" s="20" t="n">
        <v>0</v>
      </c>
      <c r="I22" s="20" t="n">
        <v>0</v>
      </c>
      <c r="J22" s="20" t="n">
        <v>13</v>
      </c>
      <c r="K22" s="20" t="n">
        <v>0</v>
      </c>
      <c r="L22" s="20" t="n">
        <v>0</v>
      </c>
      <c r="M22" s="25" t="inlineStr">
        <is>
          <t>CWHIT CAP CHALLENGE 4 QUARTERFINAL (128, Gld+Cp) +10 GOLD/+10 CAP - biggest Cap day since Aug 3. Diamond Slots 9-16 (64) +3D/+3C; Thursday Silver Spectacular 65-128 (256) +1S; Return of the Bronze 33-64 (128) +1B. ZEROS: Goldfather II 33-64 (64), Trying to Look Busy D&amp;G 33-64 (64), Bronze The Sequel 65-128 (128). Thursday Overnight Under the Covers (PD Weekly, 256) ELIMINATED - 3rd time this period, unscored</t>
        </is>
      </c>
    </row>
    <row r="23" ht="15" customHeight="1" s="14">
      <c r="A23" s="25" t="inlineStr">
        <is>
          <t>Fri Aug 21</t>
        </is>
      </c>
      <c r="B23" s="25" t="inlineStr">
        <is>
          <t>Fri</t>
        </is>
      </c>
      <c r="C23" s="20" t="n">
        <v>0</v>
      </c>
      <c r="D23" s="20" t="n">
        <v>45</v>
      </c>
      <c r="E23" s="20" t="n">
        <v>0</v>
      </c>
      <c r="F23" s="20" t="n">
        <v>4</v>
      </c>
      <c r="G23" s="20" t="n">
        <v>0</v>
      </c>
      <c r="H23" s="20" t="n">
        <v>0</v>
      </c>
      <c r="I23" s="20" t="n">
        <v>0</v>
      </c>
      <c r="J23" s="20" t="n">
        <v>3</v>
      </c>
      <c r="K23" s="20" t="n">
        <v>1</v>
      </c>
      <c r="L23" s="20" t="n">
        <v>15</v>
      </c>
      <c r="M23" s="25" t="inlineStr">
        <is>
          <t>BRONZE DOUBLE: Bronze The Sequel WINNER (128) +30 BRONZE and Low Bronze 2nd (64) +15 BRONZE - biggest Bronze day of the period. Friday Draft About Nothing 5-8 (256) +15 PDW; Gold Slots 9-16 (64) +3G/+3C; Early Gold 33-64 (128) +1G; Laptophound 6L Power Play 33-64 (128) +1 PDD. ZEROS: Golden Heart 33-64 (64), Diamond Slots 33-64 (64), Low Diamond 33-64 (64), Late Silver 65-128 (128), Laptophound 5L Deadball 65-128 (128).</t>
        </is>
      </c>
    </row>
    <row r="24" ht="15" customHeight="1" s="14">
      <c r="A24" s="25" t="inlineStr">
        <is>
          <t>Sat Aug 22</t>
        </is>
      </c>
      <c r="B24" s="25" t="inlineStr">
        <is>
          <t>Sat</t>
        </is>
      </c>
      <c r="C24" s="20" t="n">
        <v>0</v>
      </c>
      <c r="D24" s="20" t="n">
        <v>0</v>
      </c>
      <c r="E24" s="20" t="n">
        <v>0</v>
      </c>
      <c r="F24" s="20" t="n">
        <v>4</v>
      </c>
      <c r="G24" s="20" t="n">
        <v>0</v>
      </c>
      <c r="H24" s="20" t="n">
        <v>0</v>
      </c>
      <c r="I24" s="20" t="n">
        <v>0</v>
      </c>
      <c r="J24" s="20" t="n">
        <v>3</v>
      </c>
      <c r="K24" s="20" t="n">
        <v>4</v>
      </c>
      <c r="L24" s="20" t="n">
        <v>18</v>
      </c>
      <c r="M24" s="25" t="inlineStr">
        <is>
          <t>PD WEEKLY DAY: Saturday Can't Sleep Clown Will Eat Me 5-8 (256) +15 PDW, Saturday Shrinkage 33-64 (256) +3 PDW. Historical Primetime 9-16 (64) +3 PDD; Gold Slots 9-16 (64) +3G/+3C; Golden Heart 17-32 (64) +1G; Laptophound 6L Power Play 33-64 (128) +1 PDD. ZEROS: Diamonds are Forever 33-64 (64), Low Diamond 33-64 (64), Bronze 1910-59 33-64 (64), Just Order Pizza D&amp;G 33-64 (64), Bagels and Schmear 33-64 (64), Late Silver 65-128 (128), Early Gold 65-128 (128).</t>
        </is>
      </c>
    </row>
    <row r="25" ht="15" customHeight="1" s="14">
      <c r="A25" s="25" t="inlineStr">
        <is>
          <t>Sun Aug 23</t>
        </is>
      </c>
      <c r="B25" s="25" t="inlineStr">
        <is>
          <t>Sun</t>
        </is>
      </c>
      <c r="C25" s="20" t="n">
        <v>0</v>
      </c>
      <c r="D25" s="20" t="n">
        <v>0</v>
      </c>
      <c r="E25" s="20" t="n">
        <v>1</v>
      </c>
      <c r="F25" s="20" t="n">
        <v>8</v>
      </c>
      <c r="G25" s="20" t="n">
        <v>0</v>
      </c>
      <c r="H25" s="20" t="n">
        <v>3</v>
      </c>
      <c r="I25" s="20" t="n">
        <v>0</v>
      </c>
      <c r="J25" s="20" t="n">
        <v>7</v>
      </c>
      <c r="K25" s="20" t="n">
        <v>24</v>
      </c>
      <c r="L25" s="20" t="n">
        <v>0</v>
      </c>
      <c r="M25" s="25" t="inlineStr">
        <is>
          <t>Gold Slots 5-8 (64) +6G/+6C; Trying to Look Busy D&amp;G 3/4 (64) +10 PDD; Up Late with Rich LAD 3/4 (32) +6 PDD; Sunday High Iron Floor and Gold Ceiling 33-64 (128, Gld+Cp+TW) +1G/+1C; Early Gold 33-64 (128) +1G; Laptophound 5L Deadball 33-64 (128) +1 PDD. ZEROS: Low Diamond 33-64 (64). LATE ADDS (Aug 25 screenshot): 6L Power Play 9-16 (128) +6 PDD; OOTP and Chill 17-32 (64) +1 PDD; Late Silver 33-64 (128) +1S; Sunday Open Main Event 33-64 (256) +3 OPEN. Zeros: Bronze PTCS 3 Replay Slots, Golden Heart, Pizza D&amp;G.</t>
        </is>
      </c>
    </row>
    <row r="26" ht="15" customHeight="1" s="14">
      <c r="A26" s="25" t="inlineStr">
        <is>
          <t>Mon Aug 24</t>
        </is>
      </c>
      <c r="B26" s="25" t="inlineStr">
        <is>
          <t>Mon</t>
        </is>
      </c>
      <c r="C26" s="20" t="n">
        <v>0</v>
      </c>
      <c r="D26" s="20" t="n">
        <v>1</v>
      </c>
      <c r="E26" s="20" t="n">
        <v>0</v>
      </c>
      <c r="F26" s="20" t="n">
        <v>4</v>
      </c>
      <c r="G26" s="20" t="n">
        <v>10</v>
      </c>
      <c r="H26" s="20" t="n">
        <v>0</v>
      </c>
      <c r="I26" s="20" t="n">
        <v>0</v>
      </c>
      <c r="J26" s="20" t="n">
        <v>4</v>
      </c>
      <c r="K26" s="20" t="n">
        <v>3</v>
      </c>
      <c r="L26" s="20" t="n">
        <v>0</v>
      </c>
      <c r="M26" s="25" t="inlineStr">
        <is>
          <t>LOW DIAMOND 3rd/4th (64) +10 DIAMOND - Diamond crosses the 101-pt estimated target. Wonky Historical Slots 17-32 (128, Gld+Cp+TW) +3G/+3C; Just Order Pizza D&amp;G 9-16 (64) +3 PDD; Gold Slots 17-32 (64) +1G/+1C; Up And At Them Bronze 65-128 (256) +1B. Monday Getting it Started (PD Weekly, 256) ELIMINATED - unscored. ZEROS: Tuck in Time + Snack Time 17-32 (32s pay 0), Silver Slots, Silver Heart, Hitters First, Open Slots 33-64 (64), Gold Floor Cap, 6L Power Play, Bronze OOTP Era, 5L Deadball 65-128 (128).</t>
        </is>
      </c>
    </row>
    <row r="27" ht="15" customHeight="1" s="14">
      <c r="A27" s="25" t="inlineStr">
        <is>
          <t>Tue Aug 25</t>
        </is>
      </c>
      <c r="B27" s="25" t="inlineStr">
        <is>
          <t>Tue</t>
        </is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6</v>
      </c>
      <c r="H27" s="20" t="n">
        <v>0</v>
      </c>
      <c r="I27" s="20" t="n">
        <v>0</v>
      </c>
      <c r="J27" s="20" t="n">
        <v>3</v>
      </c>
      <c r="K27" s="20" t="n">
        <v>4</v>
      </c>
      <c r="L27" s="20" t="n">
        <v>0</v>
      </c>
      <c r="M27" s="25" t="inlineStr">
        <is>
          <t>DIAMOND SLOTS 9-16 (64) +3D/+3C; Low Diamond 9-16 (64) +3D; PDD singles: 6L Power Play 33-64 (128), Just Order Pizza 17-32 (64), Trying to Look Busy 17-32 (64), 5L Deadball 33-64 (128). Tuesday Evening Adrenaline Rush (PD WEEKLY, 256) ELIMINATED - 0. ZEROS: Sporer's Sandlot 65-128 + Up to 1969 33-64 (TW), Late Silver + Early Gold 65-128 (128), Gold Slots 33-64 (64), This Could've Been an Email 33-64 (64).</t>
        </is>
      </c>
    </row>
    <row r="28" ht="15" customHeight="1" s="14">
      <c r="A28" s="25" t="inlineStr">
        <is>
          <t>Wed Aug 26</t>
        </is>
      </c>
      <c r="B28" s="25" t="inlineStr">
        <is>
          <t>Wed</t>
        </is>
      </c>
      <c r="C28" s="20" t="n">
        <v>0</v>
      </c>
      <c r="D28" s="20" t="n">
        <v>0</v>
      </c>
      <c r="E28" s="20" t="n">
        <v>1</v>
      </c>
      <c r="F28" s="20" t="n">
        <v>0</v>
      </c>
      <c r="G28" s="20" t="n">
        <v>1</v>
      </c>
      <c r="H28" s="20" t="n">
        <v>0</v>
      </c>
      <c r="I28" s="20" t="n">
        <v>0</v>
      </c>
      <c r="J28" s="20" t="n">
        <v>1</v>
      </c>
      <c r="K28" s="20" t="n">
        <v>12</v>
      </c>
      <c r="L28" s="20" t="n">
        <v>0</v>
      </c>
      <c r="M28" s="25" t="inlineStr">
        <is>
          <t>5L DEADBALL 5th-8th (128) +10 PDD - best PD Daily finish of the period. PDD singles: 6L Power Play 33-64 (128), Good Orderly Evening 17-32 (64). Diamond &amp; Friends Slots 17-32 (64) +1D/+1C; Late Silver 33-64 (128) +1S. Wednesday Ice to See You (256, Dia weekly) ELIMINATED. ZEROS: Bronze Only Cap, Bronze 1910-59, Gold Slots, Trying to Look Busy, Doc Rock Derby 33-64 (64s); Early Gold + Night of the Living Deadball 65-128 (128); Up Late with Rich 17-32 (32 pays 0). W-1950-to-Now excluded.</t>
        </is>
      </c>
    </row>
    <row r="29" ht="15" customHeight="1" s="14">
      <c r="A29" s="25" t="inlineStr">
        <is>
          <t>Thu Aug 27</t>
        </is>
      </c>
      <c r="B29" s="25" t="inlineStr">
        <is>
          <t>Thu</t>
        </is>
      </c>
      <c r="C29" s="20" t="n">
        <v>0</v>
      </c>
      <c r="D29" s="20" t="n">
        <v>1</v>
      </c>
      <c r="E29" s="20" t="n">
        <v>10</v>
      </c>
      <c r="F29" s="20" t="n">
        <v>1</v>
      </c>
      <c r="G29" s="20" t="n">
        <v>0</v>
      </c>
      <c r="H29" s="20" t="n">
        <v>0</v>
      </c>
      <c r="I29" s="20" t="n">
        <v>0</v>
      </c>
      <c r="J29" s="20" t="n">
        <v>11</v>
      </c>
      <c r="K29" s="20" t="n">
        <v>9</v>
      </c>
      <c r="L29" s="20" t="n">
        <v>1</v>
      </c>
      <c r="M29" s="25" t="inlineStr">
        <is>
          <t>SILVER SLOTS 3rd/4th (64) +10 SILVER/+10 CAP - biggest Silver+Cap hit of the period. Just Order Pizza 5-8 (64) +6 PDD; CWhit Cap Challenge 4 33-64 (128) +1G/+1C; PDD singles: 6L Power Play (167), Pitchers First 17-32 (64), 5L Deadball (166); Bronze 1910-59 17-32 (64) +1B; Thursday Overnight Under the Covers 65-128 (256) +1 PDW - first PDW point since Aug 22. Weeklies ELIMINATED: Gold Rush, Silver Spectacular. ZEROS: Golden Childhood, Bronze Only Cap 167, Late Silver, Diamond Slots 167, Bronze OOTP Era, Could've Been an Email 166, Double Espresso.</t>
        </is>
      </c>
    </row>
    <row r="30" ht="15" customHeight="1" s="14">
      <c r="A30" s="25" t="inlineStr">
        <is>
          <t>Fri Aug 28</t>
        </is>
      </c>
      <c r="B30" s="25" t="inlineStr">
        <is>
          <t>Fri</t>
        </is>
      </c>
      <c r="C30" s="20" t="n">
        <v>0</v>
      </c>
      <c r="D30" s="20" t="n">
        <v>0</v>
      </c>
      <c r="E30" s="20" t="n">
        <v>25</v>
      </c>
      <c r="F30" s="20" t="n">
        <v>25</v>
      </c>
      <c r="G30" s="20" t="n">
        <v>6</v>
      </c>
      <c r="H30" s="20" t="n">
        <v>0</v>
      </c>
      <c r="I30" s="20" t="n">
        <v>0</v>
      </c>
      <c r="J30" s="20" t="n">
        <v>15</v>
      </c>
      <c r="K30" s="20" t="n">
        <v>7</v>
      </c>
      <c r="L30" s="20" t="n">
        <v>0</v>
      </c>
      <c r="M30" s="25" t="inlineStr">
        <is>
          <t>BEST DAY OF THE PERIOD (+78). GOLDEN HEART WINNER (64) +25 GOLD - first tournament WIN of PTCS 6. Silver Slots 2ND (64) +15 SILVER/+15 CAP; Silver Heart 3rd/4th (64) +10 SILVER; Diamond Heart 5-8 (64) +6 D; Doc Rock Derby 9-16 (64) +3 PDD; Snack Time 5-8 (32) +3 PDD; 5L Deadball 33-64 (128) +1 PDD. Draft About Nothing (PDW) eliminated. ZEROS: Open Slots, Early Gold, Gold Slots, 6L Power Play 168, Late Silver 168, Silver Slamboree. LATE ADDS from Aug 29 screenshot amended this day (+68 over the morning partial).</t>
        </is>
      </c>
    </row>
    <row r="31" ht="15" customHeight="1" s="14">
      <c r="A31" s="25" t="inlineStr">
        <is>
          <t>Sat Aug 29</t>
        </is>
      </c>
      <c r="B31" s="25" t="inlineStr">
        <is>
          <t>Sat</t>
        </is>
      </c>
      <c r="C31" s="20" t="n">
        <v>0</v>
      </c>
      <c r="D31" s="20" t="n">
        <v>0</v>
      </c>
      <c r="E31" s="20" t="n">
        <v>2</v>
      </c>
      <c r="F31" s="20" t="n">
        <v>15</v>
      </c>
      <c r="G31" s="20" t="n">
        <v>0</v>
      </c>
      <c r="H31" s="20" t="n">
        <v>0</v>
      </c>
      <c r="I31" s="20" t="n">
        <v>0</v>
      </c>
      <c r="J31" s="20" t="n">
        <v>1</v>
      </c>
      <c r="K31" s="20" t="n">
        <v>6</v>
      </c>
      <c r="L31" s="20" t="n">
        <v>0</v>
      </c>
      <c r="M31" s="25" t="inlineStr">
        <is>
          <t>LOW GOLD RETROSPECTICUS 2ND (64) +15 GOLD - best Gold day since the Golden Heart win. PDD singles: Struggling to Sleep 9-16 (64) +3, Trying to Look Busy - D&amp;G 17-32 (64) +1. Saturday Shrinkage (PD WEEKLY, 256) ELIMINATED - 0. ZEROS: Silver &amp; Friends Deadball Slots 33-64 (64), Gold Slots 33-64 (64). LATE ADDS from the Aug 30 screenshot (+5): Silver Slots 17-32 (64) +1 S/+1 C; Silver Slamboree 33-64 (128) +1 S; Just Order Pizza 17-32 (64) +1 PDD; This Could've Been an Email 17-32 (64) +1 PDD. LATE ZEROS: Silver Heart 33-64 (64), 6L Power Play 65-128 (128), Saturday Diamond Variety 65-128 (128, Dia+TW), Late Silver 65-128 (128).</t>
        </is>
      </c>
    </row>
    <row r="32" ht="15" customHeight="1" s="14">
      <c r="A32" s="25" t="inlineStr">
        <is>
          <t>Sun Aug 30</t>
        </is>
      </c>
      <c r="B32" s="25" t="inlineStr">
        <is>
          <t>Sun</t>
        </is>
      </c>
      <c r="C32" s="20" t="n">
        <v>0</v>
      </c>
      <c r="D32" s="20" t="n">
        <v>0</v>
      </c>
      <c r="E32" s="20" t="n">
        <v>7</v>
      </c>
      <c r="F32" s="20" t="n">
        <v>6</v>
      </c>
      <c r="G32" s="20" t="n">
        <v>0</v>
      </c>
      <c r="H32" s="20" t="n">
        <v>1</v>
      </c>
      <c r="I32" s="20" t="n">
        <v>0</v>
      </c>
      <c r="J32" s="20" t="n">
        <v>7</v>
      </c>
      <c r="K32" s="20" t="n">
        <v>5</v>
      </c>
      <c r="L32" s="20" t="n">
        <v>0</v>
      </c>
      <c r="M32" s="25" t="inlineStr">
        <is>
          <t>Gold+Cap doubles: Sunday High Iron Floor and Gold Ceiling 17-32 (128, Gld+Cp+TW) +3 G/+3 C; Gold Slots 9-16 (64) +3 G/+3 C. PDD: Struggling to Sleep 9-16 (64) +3, 5L Deadball 33-64 (128) +1. ZEROS: Low Gold Retrospecticus 33-64 (64), Bagels and Schmear 33-64 (64). LATE ADDS from the Sep 1 full-list screenshots (+10): Silver Heart 5-8 (64) +6 S; Late Silver 33-64 (128) +1 S; Sunday Open Slots 33-64 (128, Op+Cp+TW) +1 O/+1 C; Rocking Chair Lunch 17-32 (64) +1 PDD. LATE ZEROS: Silver Slots 33-64 (64); 6L Power Play 65-128 (128); Bronze OOTP Era 65-128 (128); Sunday Up and Down the Ladder 65-128 (128, PD WEEKLY). Day now complete.</t>
        </is>
      </c>
    </row>
    <row r="33" ht="15" customHeight="1" s="14">
      <c r="A33" s="25" t="inlineStr">
        <is>
          <t>Mon Aug 31</t>
        </is>
      </c>
      <c r="B33" s="25" t="inlineStr">
        <is>
          <t>Mon</t>
        </is>
      </c>
      <c r="C33" s="20" t="n">
        <v>0</v>
      </c>
      <c r="D33" s="20" t="n">
        <v>4</v>
      </c>
      <c r="E33" s="20" t="n">
        <v>7</v>
      </c>
      <c r="F33" s="20" t="n">
        <v>3</v>
      </c>
      <c r="G33" s="20" t="n">
        <v>1</v>
      </c>
      <c r="H33" s="20" t="n">
        <v>0</v>
      </c>
      <c r="I33" s="20" t="n">
        <v>0</v>
      </c>
      <c r="J33" s="20" t="n">
        <v>5</v>
      </c>
      <c r="K33" s="20" t="n">
        <v>14</v>
      </c>
      <c r="L33" s="20" t="n">
        <v>10</v>
      </c>
      <c r="M33" s="25" t="inlineStr">
        <is>
          <t>MONDAY NIGHT HISTORY LESSON 9-16 (256, PD WEEKLY) +10 PDW - third-best PD Weekly day of the period and the first PDW points since Aug 27. Just Order Pizza 5-8 (64) +6 PDD; Late Silver 9-16 (128) +6 S; Bronze 1910-59 9-16 (64) +3 B; Gold Slots 9-16 (64) +3 G/+3 C; Bagels and Schmear 9-16 (64) +3 PDD; 6L Power Play 17-32 (128) +3 PDD; Diamond &amp; Friends Slots 17-32 (64) +1 D/+1 C; Silver &amp; Friends Deadball Slots 17-32 (64) +1 S/+1 C; Bronze OOTP Era 33-64 (128) +1 B; 5L Deadball 33-64 (128) +1 PDD; Struggling to Sleep 17-32 (64) +1 PDD. ZEROS: Monday Gold Floor Cap 65-128 (128, Op+Cp+TW); Hitters First 33-64 (64); Monday Up And At Them Bronze (256, Brz+TW) ELIMINATED.</t>
        </is>
      </c>
    </row>
    <row r="34" ht="15" customHeight="1" s="14">
      <c r="A34" s="25" t="inlineStr">
        <is>
          <t>Tue Sep 1</t>
        </is>
      </c>
      <c r="B34" s="25" t="inlineStr">
        <is>
          <t>Tue</t>
        </is>
      </c>
      <c r="C34" s="20" t="n">
        <v>0</v>
      </c>
      <c r="D34" s="20" t="n">
        <v>10</v>
      </c>
      <c r="E34" s="20" t="n">
        <v>1</v>
      </c>
      <c r="F34" s="20" t="n">
        <v>3</v>
      </c>
      <c r="G34" s="20" t="n">
        <v>1</v>
      </c>
      <c r="H34" s="20" t="n">
        <v>0</v>
      </c>
      <c r="I34" s="20" t="n">
        <v>0</v>
      </c>
      <c r="J34" s="20" t="n">
        <v>12</v>
      </c>
      <c r="K34" s="20" t="n">
        <v>13</v>
      </c>
      <c r="L34" s="20" t="n">
        <v>0</v>
      </c>
      <c r="M34" s="25" t="inlineStr">
        <is>
          <t>BRONZE PTCS 3 REPLAY SLOTS 3rd/4th (64) +10 B/+10 CAP - biggest Bronze hit of the period and the swing that puts Bronze within 4 of target. 6L Power Play 5-8 (128) +10 PDD - best PD Daily result since the Aug 26 Deadball 5-8. Perfecto Primetime 9-16 (64) +3 PDD; Early Gold 17-32 (128) +3 G; Silver Slots 17-32 (64) +1 S/+1 C; Diamond &amp; Friends Slots 17-32 (64) +1 D/+1 C. ZEROS: Perfectly Silver 33-64 (64); All-Gold 33-64 (64); All-Silver 33-64 (64); Bronze OOTP Era 65-128 (128); 5L Deadball 65-128 (128); Tuesday Up to 1969 65-128 (128, Op+TW).</t>
        </is>
      </c>
    </row>
    <row r="35" ht="15" customHeight="1" s="14">
      <c r="A35" s="25" t="inlineStr">
        <is>
          <t>Wed Sep 2</t>
        </is>
      </c>
      <c r="B35" s="25" t="inlineStr">
        <is>
          <t>Wed</t>
        </is>
      </c>
      <c r="C35" s="20" t="n">
        <v>0</v>
      </c>
      <c r="D35" s="20" t="n">
        <v>1</v>
      </c>
      <c r="E35" s="20" t="n">
        <v>0</v>
      </c>
      <c r="F35" s="20" t="n">
        <v>0</v>
      </c>
      <c r="G35" s="20" t="n">
        <v>1</v>
      </c>
      <c r="H35" s="20" t="n">
        <v>3</v>
      </c>
      <c r="I35" s="20" t="n">
        <v>0</v>
      </c>
      <c r="J35" s="20" t="n">
        <v>1</v>
      </c>
      <c r="K35" s="20" t="n">
        <v>4</v>
      </c>
      <c r="L35" s="20" t="n">
        <v>0</v>
      </c>
      <c r="M35" s="25" t="inlineStr">
        <is>
          <t>Wednesday 1950 to Now 17-32 (128, Op+TW) +3 OPEN - counted per the game's own Op tag; note the dump model currently EXCLUDES this event, so it may not show up in the community Open standings. ZEROS: Open Slots 33-64 (64, Op+Cp); Early Gold 65-128 (128). LATE ADDS from the Sep 4 screenshot (+6): Bronze PTCS 3 Replay Slots 1890099 17-32 (64) +1 B/+1 C; All-Diamond 2200173 9-16 (64) +3 PDD; 6L Power Play 2180173 33-64 (128) +1 PDD. LATE ZERO: Wednesday Night of the Living Deadball 1500024 65-128 (128, Op+TW). AMENDED from the Sep 4 results screen (+1): Wednesday Ice to See You 1490024 65-128 (256, Dia+TW) +1 D. ADDITIONAL ZEROS: Late Silver 1240173 65-128 (128); Silver &amp; Friends Slots 1900099 33-64 (64). Day complete.</t>
        </is>
      </c>
    </row>
    <row r="36" ht="15" customHeight="1" s="14">
      <c r="A36" s="25" t="inlineStr">
        <is>
          <t>Thu Sep 3</t>
        </is>
      </c>
      <c r="B36" s="25" t="inlineStr">
        <is>
          <t>Thu</t>
        </is>
      </c>
      <c r="C36" s="20" t="n">
        <v>0</v>
      </c>
      <c r="D36" s="20" t="n">
        <v>0</v>
      </c>
      <c r="E36" s="20" t="n">
        <v>15</v>
      </c>
      <c r="F36" s="20" t="n">
        <v>15</v>
      </c>
      <c r="G36" s="20" t="n">
        <v>0</v>
      </c>
      <c r="H36" s="20" t="n">
        <v>0</v>
      </c>
      <c r="I36" s="20" t="n">
        <v>0</v>
      </c>
      <c r="J36" s="20" t="n">
        <v>20</v>
      </c>
      <c r="K36" s="20" t="n">
        <v>11</v>
      </c>
      <c r="L36" s="20" t="n">
        <v>0</v>
      </c>
      <c r="M36" s="25" t="inlineStr">
        <is>
          <t>CWHIT'S CAP CHALLENGE 4 3rd/4th (128, Gld+Cp+TW) +15 GOLD/+15 CAP - best Cap result of the period and the biggest Gold hit since the Aug 28 Golden Heart win. Thursday Silver Spectacular 9-16 (256, Slv+TW) +10 SILVER - TW carries no standing, Silver only. Silver &amp; Friends Slots 9-16 (64) +3 S/+3 C; Silver Only Cap 17-32 (64) +1 S/+1 C; Silver Slots 17-32 (64) +1 S/+1 C. PDD: Perfecto Primetime 9-16 (64) +3, All-Gold 9-16 (64) +3, Perfecto Morning 9-16 (64) +3, High Heat in the Morning 17-32 (64) +1, Struggling to Sleep - DBL 17-32 (64) +1. ZEROS: Bronze PTCS 3 Replay Slots 33-64 (64); Low Silver Only 33-64 (64); Low Diamond 33-64 (64); Bronze 1910-59 33-64 (64); 6L Power Play 65-128 (128); 5L Deadball 65-128 (128). ELIMINATED/unscored: Thursday Night Gold Rush (256, Gld+TW); Thursday Overnight Under the Covers (256, PD WEEKLY). Screenshot showed no Sep 4 group, so Sep 3 may still take late adds.</t>
        </is>
      </c>
    </row>
    <row r="37" ht="15" customHeight="1" s="14">
      <c r="A37" s="25" t="inlineStr">
        <is>
          <t>Fri Sep 4</t>
        </is>
      </c>
      <c r="B37" s="25" t="inlineStr">
        <is>
          <t>Fri</t>
        </is>
      </c>
      <c r="C37" s="20" t="n">
        <v>0</v>
      </c>
      <c r="D37" s="20" t="n">
        <v>25</v>
      </c>
      <c r="E37" s="20" t="n">
        <v>12</v>
      </c>
      <c r="F37" s="20" t="n">
        <v>3</v>
      </c>
      <c r="G37" s="20" t="n">
        <v>6</v>
      </c>
      <c r="H37" s="20" t="n">
        <v>1</v>
      </c>
      <c r="I37" s="20" t="n">
        <v>0</v>
      </c>
      <c r="J37" s="20" t="n">
        <v>18</v>
      </c>
      <c r="K37" s="20" t="n">
        <v>13</v>
      </c>
      <c r="L37" s="20" t="n">
        <v>0</v>
      </c>
      <c r="M37" s="25" t="inlineStr">
        <is>
          <t>AMENDED 9/5 from the full Your Tournaments screen — the original +59 was read before the late results landed and with Perfect Drafts filtered out of the view. Confirmed already-counted: Bronze 1910-59 WINNER 1640170 +25 B; Silver Only Cap 1250174 3rd/4th +10 S/+10 C; Gold Slots 9-16 +3 G/+3 C; Low Diamond 1340174 9-16 +3 D; Open Slots 1410174 17-32 +1 O/+1 C; All-Silver 2110174 9-16 +3 PDD; zeros 5L Deadball 2070174 and Low Silver Only 1970003. NEW this pass (+19): Silver Slots 1270175 17-32 (64) +1 S/+1 C; Late Silver 1240175 33-64 (128) +1 S; Diamond &amp; Friends 1920101 9-16 (64) +3 D/+3 C; Perfectly Gold 2220175 9-16 (64) +3 PDD; All-Gold 2120174 9-16 (64) +3 PDD; Midday Perfecto 2530164 9-16 (64) +3 PDD; 6L Power Play 2180175 33-64 (128) +1 PDD. ZEROS: Perfectly Silver 2550164, All-Diamond 2200175, Silver &amp; Friends 1900101, Bronze OOTP Era 1820158 (65-128 of 128); Friday Draft About Nothing 2390024 eliminated. Day total 59 -&gt; 78, the best day of the period.</t>
        </is>
      </c>
    </row>
    <row r="38" ht="15" customHeight="1" s="14">
      <c r="A38" s="25" t="inlineStr">
        <is>
          <t>Sat Sep 5</t>
        </is>
      </c>
      <c r="B38" s="25" t="inlineStr">
        <is>
          <t>Sat</t>
        </is>
      </c>
      <c r="C38" s="20" t="n">
        <v>0</v>
      </c>
      <c r="D38" s="20" t="n">
        <v>2</v>
      </c>
      <c r="E38" s="20" t="n">
        <v>4</v>
      </c>
      <c r="F38" s="20" t="n">
        <v>0</v>
      </c>
      <c r="G38" s="20" t="n">
        <v>2</v>
      </c>
      <c r="H38" s="20" t="n">
        <v>0</v>
      </c>
      <c r="I38" s="20" t="n">
        <v>1</v>
      </c>
      <c r="J38" s="20" t="n">
        <v>0</v>
      </c>
      <c r="K38" s="20" t="n">
        <v>11</v>
      </c>
      <c r="L38" s="20" t="n">
        <v>0</v>
      </c>
      <c r="M38" s="25" t="inlineStr">
        <is>
          <t>Day 34 of 35, read straight off the Your Tournaments screen with Show: All Tournaments and Drafts. Around the Breakfast Table 2560101 5-8 (64) +6 PDD; Struggling to Sleep - DBL 2240175 9-16 (64) +3 PDD; Don't Forget to Pick up the Kids - Live 2130175 17-32 (64, PD Daily+Live) +1 PDD/+1 LIVE; Bronze 1910-59 1640171 17-32 (64) +1 B; Low Silver Only 1970004 17-32 (64) +1 S; Diamond Heart 1850158 17-32 (64) +1 D. ZEROS: Silver Only Cap 1250175 and Open Slots 1410175 33-64 (64); Midday Perfecto 2530165 33-64 (64); Negro Leagues Slots 1950014 65-128 (128, Op+Cp+TW). UNSCORED: Saturday Shrinkage 2430025 (256, PD WEEKLY) eliminated with no placement. STILL IN FLIGHT and able to add to this day: All-Gold 2120175, Perfectly Bronze 2140175, Just Order Pizza 2170176, Bronze PTCS 3 1890102, Bronze OOTP Era 1820159 (all eliminated, awaiting placement) and All-Diamond 2200176, 6L Power Play 2180176, Late Silver 1240176, Saturday Diamond Variety 1590025, Perfectly Silver 2550165 (still playing). RESOLVED from the Sep 6 screen (+6), clearing every event this note listed as in flight: Late Silver 1240176 17-32 (128) +3 S; Saturday Diamond Variety 1590025 33-64 (128, Dia+TW) +1 D; Bronze OOTP Era 1820159 33-64 (128) +1 B; Perfectly Silver 2550165 17-32 (64) +1 PDD. LATE ZEROS: All-Diamond 2200176 33-64 (64); 6L Power Play 2180176 65-128 (128); Just Order Pizza 2170176 33-64 (64); Bronze PTCS 3 Replay Slots 1890102 33-64 (64); Perfectly Bronze 2140175 33-64 (64); All-Gold 2120175 33-64 (64). Day complete.</t>
        </is>
      </c>
    </row>
    <row r="39" ht="15" customHeight="1" s="14">
      <c r="A39" s="25" t="inlineStr">
        <is>
          <t>Sun Sep 6</t>
        </is>
      </c>
      <c r="B39" s="25" t="inlineStr">
        <is>
          <t>Sun</t>
        </is>
      </c>
      <c r="C39" s="20" t="n">
        <v>0</v>
      </c>
      <c r="D39" s="20" t="n">
        <v>6</v>
      </c>
      <c r="E39" s="20" t="n">
        <v>1</v>
      </c>
      <c r="F39" s="20" t="n">
        <v>10</v>
      </c>
      <c r="G39" s="20" t="n">
        <v>0</v>
      </c>
      <c r="H39" s="20" t="n">
        <v>8</v>
      </c>
      <c r="I39" s="20" t="n">
        <v>0</v>
      </c>
      <c r="J39" s="20" t="n">
        <v>17</v>
      </c>
      <c r="K39" s="20" t="n">
        <v>19</v>
      </c>
      <c r="L39" s="20" t="n">
        <v>0</v>
      </c>
      <c r="M39" s="25" t="inlineStr">
        <is>
          <t>Day 35 of 35 — the last qualifying day. FINAL, amended 9/7 from the Your Tournaments screen after every Sep 6 event had settled. Confirmed already-counted from the two Sep 6 captures: Sunday High Iron Floor and Gold Ceiling 1600025 5-8 (128, Gld+Cp+TW) +10 G/+10 C; Open Slots 1410176 5-8 (64, Op+Cp) +6 OPEN/+6 C; Perfecto Morning 2520165 5-8 (64) +6 PDD; Rise and Shine 2030176 9-16 (64) +3 PDD; All-Silver 2110176 17-32 (64, PD Daily tag only despite the name) +1 PDD; zeros Gold Slots 1320176 and Struggling to Sleep - DBL 2240176 33-64 (64). NEW this pass (+19), the events still in flight at the second capture: Bronze OOTP Era 1820160 9-16 (128) +6 B; Perfectly Gold 2220177 5-8 (64) +6 PDD; Dr. Dynastic's Doc Rock Derby - HH 2160177 9-16 (64) +3 PDD; Sunday Open Slots 1610025 33-64 (128, Op+Cp+TW) +1 OPEN/+1 C; Sunday Open Main Event 1620025 65-128 (256, Op+TW) +1 OPEN; Late Silver 1240177 33-64 (128) +1 S. Day total 42 -&gt; 61. Perfectly Silver 2550165 17-32 also appeared on this screen but is a Sep 5 event and was already logged there. Period closes at 1,271: Bronze 160, Silver 171, Gold 159, Diamond 131, Cap 221 all over the line; PD Daily 340 (7 short of 347); Open 24, Live 13, PD Weekly 52, Iron 0. Day complete.</t>
        </is>
      </c>
    </row>
    <row r="40" ht="15" customHeight="1" s="14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</row>
    <row r="41" ht="15" customHeight="1" s="14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</row>
    <row r="42" ht="15" customHeight="1" s="14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</row>
    <row r="43" ht="15" customHeight="1" s="14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</row>
    <row r="44" ht="15" customHeight="1" s="1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</row>
    <row r="45" ht="15" customHeight="1" s="14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</row>
    <row r="46" ht="15" customHeight="1" s="14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</row>
    <row r="47" ht="15" customHeight="1" s="14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</row>
    <row r="48" ht="15" customHeight="1" s="14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</row>
    <row r="49" ht="15" customHeight="1" s="14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</row>
    <row r="50" ht="15" customHeight="1" s="14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 s="14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 s="14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3" min="1" max="1"/>
    <col width="10" customWidth="1" style="13" min="2" max="2"/>
    <col width="16" customWidth="1" style="13" min="3" max="3"/>
    <col width="18" customWidth="1" style="13" min="4" max="4"/>
    <col width="10" customWidth="1" style="13" min="5" max="5"/>
    <col width="60" customWidth="1" style="13" min="6" max="6"/>
  </cols>
  <sheetData>
    <row r="1" ht="18" customHeight="1" s="14">
      <c r="A1" s="15" t="inlineStr">
        <is>
          <t>The Championship Ladder — PTCS → PTMS → PTWC</t>
        </is>
      </c>
    </row>
    <row r="2" ht="15" customHeight="1" s="14">
      <c r="A2" s="16" t="inlineStr">
        <is>
          <t>Separate from the 10 category standings. Source: 'PT 27 Road to the Perfect Team World Championship'.</t>
        </is>
      </c>
    </row>
    <row r="4" ht="15" customHeight="1" s="14">
      <c r="A4" s="23" t="inlineStr">
        <is>
          <t>POINTS EARNED FROM A PTCS FINISH (feeds PTMS + PTWC qualifying)</t>
        </is>
      </c>
      <c r="D4" s="23" t="inlineStr">
        <is>
          <t>YOUR PTCS 5 (Aug 8) — all 128-team fields</t>
        </is>
      </c>
    </row>
    <row r="5" ht="15" customHeight="1" s="14">
      <c r="A5" s="17" t="inlineStr">
        <is>
          <t>Finish</t>
        </is>
      </c>
      <c r="B5" s="17" t="inlineStr">
        <is>
          <t>Points</t>
        </is>
      </c>
      <c r="D5" s="17" t="inlineStr">
        <is>
          <t>Event</t>
        </is>
      </c>
      <c r="E5" s="17" t="inlineStr">
        <is>
          <t>Finish</t>
        </is>
      </c>
      <c r="F5" s="17" t="inlineStr">
        <is>
          <t>Points</t>
        </is>
      </c>
      <c r="G5" s="17" t="inlineStr">
        <is>
          <t>Standing</t>
        </is>
      </c>
    </row>
    <row r="6" ht="15" customHeight="1" s="14">
      <c r="A6" s="20" t="inlineStr">
        <is>
          <t>1st</t>
        </is>
      </c>
      <c r="B6" s="20" t="n">
        <v>300</v>
      </c>
      <c r="D6" s="25" t="inlineStr">
        <is>
          <t>PTCS Gold - Period 5</t>
        </is>
      </c>
      <c r="E6" s="20" t="inlineStr">
        <is>
          <t>17th-32nd</t>
        </is>
      </c>
      <c r="F6" s="20" t="n">
        <v>5</v>
      </c>
      <c r="G6" s="20" t="inlineStr">
        <is>
          <t>Tournament</t>
        </is>
      </c>
    </row>
    <row r="7" ht="15" customHeight="1" s="14">
      <c r="A7" s="20" t="inlineStr">
        <is>
          <t>2nd</t>
        </is>
      </c>
      <c r="B7" s="20" t="n">
        <v>100</v>
      </c>
      <c r="D7" s="25" t="inlineStr">
        <is>
          <t>PTCS Daily PD - Period 5</t>
        </is>
      </c>
      <c r="E7" s="20" t="inlineStr">
        <is>
          <t>17th-32nd</t>
        </is>
      </c>
      <c r="F7" s="20" t="n">
        <v>5</v>
      </c>
      <c r="G7" s="20" t="inlineStr">
        <is>
          <t>Perfect Draft</t>
        </is>
      </c>
    </row>
    <row r="8" ht="15" customHeight="1" s="14">
      <c r="A8" s="20" t="inlineStr">
        <is>
          <t>3rd-4th</t>
        </is>
      </c>
      <c r="B8" s="20" t="n">
        <v>75</v>
      </c>
      <c r="D8" s="25" t="inlineStr">
        <is>
          <t>PTCS Diamond - Period 5</t>
        </is>
      </c>
      <c r="E8" s="20" t="inlineStr">
        <is>
          <t>33rd-64th</t>
        </is>
      </c>
      <c r="F8" s="20" t="n">
        <v>2</v>
      </c>
      <c r="G8" s="20" t="inlineStr">
        <is>
          <t>Tournament</t>
        </is>
      </c>
    </row>
    <row r="9" ht="15" customHeight="1" s="14">
      <c r="A9" s="20" t="inlineStr">
        <is>
          <t>5th-8th</t>
        </is>
      </c>
      <c r="B9" s="20" t="n">
        <v>40</v>
      </c>
      <c r="D9" s="25" t="inlineStr">
        <is>
          <t>PTCS Cap - Period 5</t>
        </is>
      </c>
      <c r="E9" s="20" t="inlineStr">
        <is>
          <t>65th-128th</t>
        </is>
      </c>
      <c r="F9" s="20" t="n">
        <v>1</v>
      </c>
      <c r="G9" s="20" t="inlineStr">
        <is>
          <t>Tournament</t>
        </is>
      </c>
    </row>
    <row r="10" ht="15" customHeight="1" s="14">
      <c r="A10" s="20" t="inlineStr">
        <is>
          <t>9th-16th</t>
        </is>
      </c>
      <c r="B10" s="20" t="n">
        <v>20</v>
      </c>
      <c r="D10" s="25" t="inlineStr">
        <is>
          <t>PTCS Live - Period 5</t>
        </is>
      </c>
      <c r="E10" s="20" t="inlineStr">
        <is>
          <t>65th-128th</t>
        </is>
      </c>
      <c r="F10" s="20" t="n">
        <v>1</v>
      </c>
      <c r="G10" s="20" t="inlineStr">
        <is>
          <t>Tournament</t>
        </is>
      </c>
    </row>
    <row r="11" ht="15" customHeight="1" s="14">
      <c r="A11" s="20" t="inlineStr">
        <is>
          <t>17th-32nd</t>
        </is>
      </c>
      <c r="B11" s="20" t="n">
        <v>5</v>
      </c>
      <c r="D11" s="18" t="inlineStr">
        <is>
          <t>PTCS 5 TOTAL</t>
        </is>
      </c>
      <c r="E11" s="22" t="n"/>
      <c r="F11" s="18">
        <f>SUM(F6:F10)</f>
        <v/>
      </c>
      <c r="G11" s="22" t="n"/>
    </row>
    <row r="12" ht="15" customHeight="1" s="14">
      <c r="A12" s="20" t="inlineStr">
        <is>
          <t>33rd-64th</t>
        </is>
      </c>
      <c r="B12" s="20" t="n">
        <v>2</v>
      </c>
    </row>
    <row r="13" ht="15" customHeight="1" s="14">
      <c r="A13" s="20" t="inlineStr">
        <is>
          <t>65th-128th</t>
        </is>
      </c>
      <c r="B13" s="20" t="n">
        <v>1</v>
      </c>
    </row>
    <row r="16" ht="15" customHeight="1" s="14">
      <c r="A16" s="23" t="inlineStr">
        <is>
          <t>CUMULATIVE PTCS STANDINGS — top 128 in each qualifies for the PTMS</t>
        </is>
      </c>
    </row>
    <row r="17" ht="15" customHeight="1" s="14">
      <c r="A17" s="17" t="inlineStr">
        <is>
          <t>PTCS</t>
        </is>
      </c>
      <c r="B17" s="17" t="inlineStr">
        <is>
          <t>Date</t>
        </is>
      </c>
      <c r="C17" s="17" t="inlineStr">
        <is>
          <t>Tournament pts</t>
        </is>
      </c>
      <c r="D17" s="17" t="inlineStr">
        <is>
          <t>Perfect Draft pts</t>
        </is>
      </c>
      <c r="E17" s="17" t="inlineStr">
        <is>
          <t>Total</t>
        </is>
      </c>
      <c r="F17" s="17" t="inlineStr">
        <is>
          <t>Notes</t>
        </is>
      </c>
    </row>
    <row r="18" ht="15" customHeight="1" s="14">
      <c r="A18" s="25" t="inlineStr">
        <is>
          <t>PTCS 1</t>
        </is>
      </c>
      <c r="B18" s="20" t="inlineStr">
        <is>
          <t>Apr 11</t>
        </is>
      </c>
      <c r="C18" s="20" t="n">
        <v>0</v>
      </c>
      <c r="D18" s="20" t="n">
        <v>0</v>
      </c>
      <c r="E18" s="20" t="n">
        <v>0</v>
      </c>
      <c r="F18" s="25" t="inlineStr">
        <is>
          <t>did not qualify</t>
        </is>
      </c>
    </row>
    <row r="19" ht="15" customHeight="1" s="14">
      <c r="A19" s="25" t="inlineStr">
        <is>
          <t>PTCS 2</t>
        </is>
      </c>
      <c r="B19" s="20" t="inlineStr">
        <is>
          <t>May 9</t>
        </is>
      </c>
      <c r="C19" s="20" t="n">
        <v>0</v>
      </c>
      <c r="D19" s="20" t="n">
        <v>0</v>
      </c>
      <c r="E19" s="20" t="n">
        <v>0</v>
      </c>
      <c r="F19" s="25" t="inlineStr">
        <is>
          <t>did not qualify</t>
        </is>
      </c>
    </row>
    <row r="20" ht="15" customHeight="1" s="14">
      <c r="A20" s="25" t="inlineStr">
        <is>
          <t>PTCS 3</t>
        </is>
      </c>
      <c r="B20" s="20" t="inlineStr">
        <is>
          <t>Jun 6</t>
        </is>
      </c>
      <c r="C20" s="20" t="n">
        <v>1</v>
      </c>
      <c r="D20" s="20" t="n">
        <v>0</v>
      </c>
      <c r="E20" s="20" t="n">
        <v>1</v>
      </c>
      <c r="F20" s="25" t="inlineStr">
        <is>
          <t>1 berth (Diamond) - 65th-128th</t>
        </is>
      </c>
    </row>
    <row r="21" ht="15" customHeight="1" s="14">
      <c r="A21" s="25" t="inlineStr">
        <is>
          <t>PTCS 4</t>
        </is>
      </c>
      <c r="B21" s="20" t="inlineStr">
        <is>
          <t>Jul 11</t>
        </is>
      </c>
      <c r="C21" s="20" t="n">
        <v>20</v>
      </c>
      <c r="D21" s="20" t="n">
        <v>0</v>
      </c>
      <c r="E21" s="20" t="n">
        <v>20</v>
      </c>
      <c r="F21" s="25" t="inlineStr">
        <is>
          <t>1 berth (Diamond) - 9th-16th. BEST PTCS RESULT SO FAR</t>
        </is>
      </c>
    </row>
    <row r="22" ht="15" customHeight="1" s="14">
      <c r="A22" s="25" t="inlineStr">
        <is>
          <t>PTCS 5</t>
        </is>
      </c>
      <c r="B22" s="20" t="inlineStr">
        <is>
          <t>Aug 8</t>
        </is>
      </c>
      <c r="C22" s="20" t="n">
        <v>9</v>
      </c>
      <c r="D22" s="20" t="n">
        <v>5</v>
      </c>
      <c r="E22" s="20" t="n">
        <v>14</v>
      </c>
      <c r="F22" s="25" t="inlineStr">
        <is>
          <t>5 berths - Gold 17-32 (5), Diamond 33-64 (2), Cap + Live 65-128 (1 ea) = 9 tourney; Daily PD 17-32 = 5</t>
        </is>
      </c>
    </row>
    <row r="23" ht="15" customHeight="1" s="14">
      <c r="A23" s="25" t="inlineStr">
        <is>
          <t>TOTAL</t>
        </is>
      </c>
      <c r="B23" s="20" t="n"/>
      <c r="C23" s="20">
        <f>SUM(C18:C22)</f>
        <v/>
      </c>
      <c r="D23" s="20">
        <f>SUM(D18:D22)</f>
        <v/>
      </c>
      <c r="E23" s="20">
        <f>SUM(E18:E22)</f>
        <v/>
      </c>
      <c r="F23" s="25" t="inlineStr">
        <is>
          <t>top 128 of EACH standing makes the PTMS</t>
        </is>
      </c>
    </row>
    <row r="25" ht="15" customHeight="1" s="14">
      <c r="A25" s="23" t="inlineStr">
        <is>
          <t>THE TABLE IS VIOLENTLY CONVEX — BERTHS GET YOU IN, DEPTH GETS YOU POINTS</t>
        </is>
      </c>
    </row>
    <row r="26" ht="15" customHeight="1" s="14">
      <c r="A26" s="24" t="inlineStr">
        <is>
          <t>PTCS 4: ONE berth, finished 9th-16th  -&gt;  20 pts</t>
        </is>
      </c>
    </row>
    <row r="27" ht="15" customHeight="1" s="14">
      <c r="A27" s="24" t="inlineStr">
        <is>
          <t>PTCS 5: FIVE berths, best was 17th-32nd  -&gt;  14 pts</t>
        </is>
      </c>
    </row>
    <row r="28" ht="15" customHeight="1" s="14">
      <c r="A28" s="24" t="inlineStr">
        <is>
          <t xml:space="preserve">   Five times the entries produced FEWER points. The jump from 17th-32nd (5) to 9th-16th (20) is 4x;</t>
        </is>
      </c>
    </row>
    <row r="29" ht="15" customHeight="1" s="14">
      <c r="A29" s="24" t="inlineStr">
        <is>
          <t xml:space="preserve">   9th-16th to 5th-8th is another 2x. A single quarterfinal (40) beats eight 17th-32nd finishes.</t>
        </is>
      </c>
    </row>
    <row r="30" ht="15" customHeight="1" s="14">
      <c r="A30" s="24" t="inlineStr">
        <is>
          <t xml:space="preserve">   Berths are the price of admission. Points come from depth, not breadth.</t>
        </is>
      </c>
    </row>
    <row r="33" ht="15" customHeight="1" s="14">
      <c r="A33" s="23" t="inlineStr">
        <is>
          <t>WHICH WORLD CHAMPIONSHIP YOUR WORK FEEDS</t>
        </is>
      </c>
    </row>
    <row r="34" ht="15" customHeight="1" s="14">
      <c r="A34" s="24" t="inlineStr">
        <is>
          <t>PTWC 1 (Aug 29-30) qualifies from:  League play to Aug 23  +  PT Live pts/50  +  Weekly leaderboard pts to Aug 2  +  PTCS 1-5  +  PTMS 1-2</t>
        </is>
      </c>
    </row>
    <row r="35" ht="15" customHeight="1" s="14">
      <c r="A35" s="24" t="inlineStr">
        <is>
          <t>PTWC 2 (Feb 21-22) qualifies from:  League play Aug 24 on  +  PT Live pts/50  +  Weekly leaderboard pts Aug 4-Jan 31  +  PTCS 6-11  +  PTMS 3-4</t>
        </is>
      </c>
    </row>
    <row r="36" ht="15" customHeight="1" s="14">
      <c r="A36" s="24" t="n"/>
    </row>
    <row r="37" ht="15" customHeight="1" s="14">
      <c r="A37" s="24" t="inlineStr">
        <is>
          <t>&gt;&gt; PTCS 5 was the LAST input to PTWC 1. Everything you score in PTCS 6 feeds PTWC 2 instead.</t>
        </is>
      </c>
    </row>
    <row r="38" ht="15" customHeight="1" s="14">
      <c r="A38" s="24" t="inlineStr">
        <is>
          <t>&gt;&gt; PTMS 2 (Aug 22): DID NOT QUALIFY - neither the 30-pt tournament standing nor the 5-pt PD standing made the top 128.</t>
        </is>
      </c>
    </row>
    <row r="39" ht="15" customHeight="1" s="14">
      <c r="A39" s="24" t="inlineStr">
        <is>
          <t xml:space="preserve">   PTCS 6-11 finishes build the PTMS 3 (Nov 21) / PTMS 4 (Feb 13) standings - that is the PTWC 2 road.</t>
        </is>
      </c>
    </row>
    <row r="40" ht="15" customHeight="1" s="14">
      <c r="A40" s="24" t="n"/>
    </row>
    <row r="41" ht="15" customHeight="1" s="14">
      <c r="A41" s="24" t="inlineStr">
        <is>
          <t>Cap and Live standings points are excluded from PTWC qualifying (no double-dipping) - they always</t>
        </is>
      </c>
    </row>
    <row r="42" ht="15" customHeight="1" s="14">
      <c r="A42" s="24" t="inlineStr">
        <is>
          <t>ride along with a tier. The PTCS Cap and PTCS Live EVENTS are separate berths you actually played,</t>
        </is>
      </c>
    </row>
    <row r="43" ht="15" customHeight="1" s="14">
      <c r="A43" s="24" t="inlineStr">
        <is>
          <t>so they should still count toward the PTMS tournament standing. Worth confirming before relying on it.</t>
        </is>
      </c>
    </row>
    <row r="44" ht="15" customHeight="1" s="14">
      <c r="A44" s="24" t="n"/>
    </row>
    <row r="45" ht="15" customHeight="1" s="14">
      <c r="A45" s="24" t="inlineStr">
        <is>
          <t>Doc inconsistency: page 1 dates PTWC 1 as Aug 29-30, page 3 says Aug 30-31.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2026-08-10T13:34:08Z</dcterms:created>
  <dcterms:modified xmlns:dcterms="http://purl.org/dc/terms/" xmlns:xsi="http://www.w3.org/2001/XMLSchema-instance" xsi:type="dcterms:W3CDTF">2026-09-07T14:23:13Z</dcterms:modified>
  <cp:revision>0</cp:revision>
</cp:coreProperties>
</file>