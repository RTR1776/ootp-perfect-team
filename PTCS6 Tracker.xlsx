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888888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3B57"/>
        <bgColor rgb="FF44444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3" min="1" max="1"/>
    <col width="9" customWidth="1" style="13" min="2" max="2"/>
    <col width="13" customWidth="1" style="13" min="3" max="3"/>
    <col width="8" customWidth="1" style="13" min="4" max="4"/>
    <col width="10" customWidth="1" style="13" min="5" max="5"/>
    <col width="9" customWidth="1" style="13" min="6" max="6"/>
    <col width="17" customWidth="1" style="13" min="7" max="7"/>
    <col width="16" customWidth="1" style="13" min="8" max="8"/>
  </cols>
  <sheetData>
    <row r="1" ht="18" customHeight="1" s="14">
      <c r="A1" s="15" t="inlineStr">
        <is>
          <t>PTCS 6 — All 10 Categories (Aug 3 – Sep 6)</t>
        </is>
      </c>
    </row>
    <row r="2" ht="15" customHeight="1" s="14">
      <c r="A2" s="16" t="inlineStr">
        <is>
          <t>5-week period. Targets = real 128th-place berth lines from the Aug 24/31 community dumps, projected to Sep 6. (Previously PTCS5 cutoff x 5/4, which ran high.)</t>
        </is>
      </c>
    </row>
    <row r="4" ht="15" customHeight="1" s="14">
      <c r="A4" s="17" t="inlineStr">
        <is>
          <t>Category</t>
        </is>
      </c>
      <c r="B4" s="17" t="inlineStr">
        <is>
          <t>Total</t>
        </is>
      </c>
      <c r="C4" s="17" t="inlineStr">
        <is>
          <t>Target (128th line)</t>
        </is>
      </c>
      <c r="D4" s="17" t="inlineStr">
        <is>
          <t>Gap</t>
        </is>
      </c>
      <c r="E4" s="17" t="inlineStr">
        <is>
          <t>Per week</t>
        </is>
      </c>
      <c r="F4" s="17" t="inlineStr">
        <is>
          <t>Per day</t>
        </is>
      </c>
      <c r="G4" s="17" t="inlineStr">
        <is>
          <t>PTCS5 result</t>
        </is>
      </c>
      <c r="H4" s="17" t="inlineStr">
        <is>
          <t>Status</t>
        </is>
      </c>
    </row>
    <row r="5" ht="15" customHeight="1" s="14">
      <c r="A5" s="18" t="inlineStr">
        <is>
          <t>Iron</t>
        </is>
      </c>
      <c r="B5" s="19">
        <f>SUM('Daily Log'!C5:C52)</f>
        <v/>
      </c>
      <c r="C5" s="20" t="n">
        <v>107</v>
      </c>
      <c r="D5" s="20">
        <f>MAX(0,C5-B5)</f>
        <v/>
      </c>
      <c r="E5" s="20">
        <f>ROUND(D5/5,1)</f>
        <v/>
      </c>
      <c r="F5" s="20">
        <f>ROUND(D5/35,1)</f>
        <v/>
      </c>
      <c r="G5" s="21" t="inlineStr">
        <is>
          <t>—</t>
        </is>
      </c>
      <c r="H5" s="22">
        <f>IF(B5&gt;=C5,"QUALIFIED","+"&amp;TEXT(D5,"0")&amp;" to go")</f>
        <v/>
      </c>
    </row>
    <row r="6" ht="15" customHeight="1" s="14">
      <c r="A6" s="18" t="inlineStr">
        <is>
          <t>Bronze</t>
        </is>
      </c>
      <c r="B6" s="19">
        <f>SUM('Daily Log'!D5:D52)</f>
        <v/>
      </c>
      <c r="C6" s="20" t="n">
        <v>124</v>
      </c>
      <c r="D6" s="20">
        <f>MAX(0,C6-B6)</f>
        <v/>
      </c>
      <c r="E6" s="20">
        <f>ROUND(D6/5,1)</f>
        <v/>
      </c>
      <c r="F6" s="20">
        <f>ROUND(D6/35,1)</f>
        <v/>
      </c>
      <c r="G6" s="21" t="inlineStr">
        <is>
          <t>—</t>
        </is>
      </c>
      <c r="H6" s="22">
        <f>IF(B6&gt;=C6,"QUALIFIED","+"&amp;TEXT(D6,"0")&amp;" to go")</f>
        <v/>
      </c>
    </row>
    <row r="7" ht="15" customHeight="1" s="14">
      <c r="A7" s="18" t="inlineStr">
        <is>
          <t>Silver</t>
        </is>
      </c>
      <c r="B7" s="19">
        <f>SUM('Daily Log'!E5:E52)</f>
        <v/>
      </c>
      <c r="C7" s="20" t="n">
        <v>105</v>
      </c>
      <c r="D7" s="20">
        <f>MAX(0,C7-B7)</f>
        <v/>
      </c>
      <c r="E7" s="20">
        <f>ROUND(D7/5,1)</f>
        <v/>
      </c>
      <c r="F7" s="20">
        <f>ROUND(D7/35,1)</f>
        <v/>
      </c>
      <c r="G7" s="21" t="inlineStr">
        <is>
          <t>87 (missed 16)</t>
        </is>
      </c>
      <c r="H7" s="22">
        <f>IF(B7&gt;=C7,"QUALIFIED","+"&amp;TEXT(D7,"0")&amp;" to go")</f>
        <v/>
      </c>
    </row>
    <row r="8" ht="15" customHeight="1" s="14">
      <c r="A8" s="18" t="inlineStr">
        <is>
          <t>Gold</t>
        </is>
      </c>
      <c r="B8" s="19">
        <f>SUM('Daily Log'!F5:F52)</f>
        <v/>
      </c>
      <c r="C8" s="20" t="n">
        <v>105</v>
      </c>
      <c r="D8" s="20">
        <f>MAX(0,C8-B8)</f>
        <v/>
      </c>
      <c r="E8" s="20">
        <f>ROUND(D8/5,1)</f>
        <v/>
      </c>
      <c r="F8" s="20">
        <f>ROUND(D8/35,1)</f>
        <v/>
      </c>
      <c r="G8" s="21" t="inlineStr">
        <is>
          <t>119 ✅</t>
        </is>
      </c>
      <c r="H8" s="22">
        <f>IF(B8&gt;=C8,"QUALIFIED","+"&amp;TEXT(D8,"0")&amp;" to go")</f>
        <v/>
      </c>
    </row>
    <row r="9" ht="15" customHeight="1" s="14">
      <c r="A9" s="18" t="inlineStr">
        <is>
          <t>Diamond</t>
        </is>
      </c>
      <c r="B9" s="19">
        <f>SUM('Daily Log'!G5:G52)</f>
        <v/>
      </c>
      <c r="C9" s="20" t="n">
        <v>84</v>
      </c>
      <c r="D9" s="20">
        <f>MAX(0,C9-B9)</f>
        <v/>
      </c>
      <c r="E9" s="20">
        <f>ROUND(D9/5,1)</f>
        <v/>
      </c>
      <c r="F9" s="20">
        <f>ROUND(D9/35,1)</f>
        <v/>
      </c>
      <c r="G9" s="21" t="inlineStr">
        <is>
          <t>283 ✅</t>
        </is>
      </c>
      <c r="H9" s="22">
        <f>IF(B9&gt;=C9,"QUALIFIED","+"&amp;TEXT(D9,"0")&amp;" to go")</f>
        <v/>
      </c>
    </row>
    <row r="10" ht="15" customHeight="1" s="14">
      <c r="A10" s="18" t="inlineStr">
        <is>
          <t>Open</t>
        </is>
      </c>
      <c r="B10" s="19">
        <f>SUM('Daily Log'!H5:H52)</f>
        <v/>
      </c>
      <c r="C10" s="20" t="n">
        <v>53</v>
      </c>
      <c r="D10" s="20">
        <f>MAX(0,C10-B10)</f>
        <v/>
      </c>
      <c r="E10" s="20">
        <f>ROUND(D10/5,1)</f>
        <v/>
      </c>
      <c r="F10" s="20">
        <f>ROUND(D10/35,1)</f>
        <v/>
      </c>
      <c r="G10" s="21" t="inlineStr">
        <is>
          <t>14 (not chased)</t>
        </is>
      </c>
      <c r="H10" s="22">
        <f>IF(B10&gt;=C10,"QUALIFIED","+"&amp;TEXT(D10,"0")&amp;" to go")</f>
        <v/>
      </c>
    </row>
    <row r="11" ht="15" customHeight="1" s="14">
      <c r="A11" s="18" t="inlineStr">
        <is>
          <t>Live</t>
        </is>
      </c>
      <c r="B11" s="19">
        <f>SUM('Daily Log'!I5:I52)</f>
        <v/>
      </c>
      <c r="C11" s="20" t="n">
        <v>125</v>
      </c>
      <c r="D11" s="20">
        <f>MAX(0,C11-B11)</f>
        <v/>
      </c>
      <c r="E11" s="20">
        <f>ROUND(D11/5,1)</f>
        <v/>
      </c>
      <c r="F11" s="20">
        <f>ROUND(D11/35,1)</f>
        <v/>
      </c>
      <c r="G11" s="21" t="inlineStr">
        <is>
          <t>165 ✅</t>
        </is>
      </c>
      <c r="H11" s="22">
        <f>IF(B11&gt;=C11,"QUALIFIED","+"&amp;TEXT(D11,"0")&amp;" to go")</f>
        <v/>
      </c>
    </row>
    <row r="12" ht="15" customHeight="1" s="14">
      <c r="A12" s="18" t="inlineStr">
        <is>
          <t>Cap</t>
        </is>
      </c>
      <c r="B12" s="19">
        <f>SUM('Daily Log'!J5:J52)</f>
        <v/>
      </c>
      <c r="C12" s="20" t="n">
        <v>168</v>
      </c>
      <c r="D12" s="20">
        <f>MAX(0,C12-B12)</f>
        <v/>
      </c>
      <c r="E12" s="20">
        <f>ROUND(D12/5,1)</f>
        <v/>
      </c>
      <c r="F12" s="20">
        <f>ROUND(D12/35,1)</f>
        <v/>
      </c>
      <c r="G12" s="21" t="inlineStr">
        <is>
          <t>171 ✅</t>
        </is>
      </c>
      <c r="H12" s="22">
        <f>IF(B12&gt;=C12,"QUALIFIED","+"&amp;TEXT(D12,"0")&amp;" to go")</f>
        <v/>
      </c>
    </row>
    <row r="13" ht="15" customHeight="1" s="14">
      <c r="A13" s="18" t="inlineStr">
        <is>
          <t>PD Daily</t>
        </is>
      </c>
      <c r="B13" s="19">
        <f>SUM('Daily Log'!K5:K52)</f>
        <v/>
      </c>
      <c r="C13" s="20" t="n">
        <v>315</v>
      </c>
      <c r="D13" s="20">
        <f>MAX(0,C13-B13)</f>
        <v/>
      </c>
      <c r="E13" s="20">
        <f>ROUND(D13/5,1)</f>
        <v/>
      </c>
      <c r="F13" s="20">
        <f>ROUND(D13/35,1)</f>
        <v/>
      </c>
      <c r="G13" s="21" t="inlineStr">
        <is>
          <t>403 ✅</t>
        </is>
      </c>
      <c r="H13" s="22">
        <f>IF(B13&gt;=C13,"QUALIFIED","+"&amp;TEXT(D13,"0")&amp;" to go")</f>
        <v/>
      </c>
    </row>
    <row r="14" ht="15" customHeight="1" s="14">
      <c r="A14" s="18" t="inlineStr">
        <is>
          <t>PD Weekly</t>
        </is>
      </c>
      <c r="B14" s="19">
        <f>SUM('Daily Log'!L5:L52)</f>
        <v/>
      </c>
      <c r="C14" s="20" t="n">
        <v>104</v>
      </c>
      <c r="D14" s="20">
        <f>MAX(0,C14-B14)</f>
        <v/>
      </c>
      <c r="E14" s="20">
        <f>ROUND(D14/5,1)</f>
        <v/>
      </c>
      <c r="F14" s="20">
        <f>ROUND(D14/35,1)</f>
        <v/>
      </c>
      <c r="G14" s="21" t="inlineStr">
        <is>
          <t>17 (not chased)</t>
        </is>
      </c>
      <c r="H14" s="22">
        <f>IF(B14&gt;=C14,"QUALIFIED","+"&amp;TEXT(D14,"0")&amp;" to go")</f>
        <v/>
      </c>
    </row>
    <row r="17" ht="15" customHeight="1" s="14">
      <c r="A17" s="23" t="inlineStr">
        <is>
          <t>HOW TO COVER 10 CATEGORIES ON 4 TOURNEYS + 3 DRAFTS A DAY</t>
        </is>
      </c>
    </row>
    <row r="18" ht="15" customHeight="1" s="14">
      <c r="A18" s="24" t="inlineStr">
        <is>
          <t>• FEASIBILITY: you need 1,523 pts over 35 days = 43.5/day across 10 categories.</t>
        </is>
      </c>
    </row>
    <row r="19" ht="15" customHeight="1" s="14">
      <c r="A19" s="24" t="inlineStr">
        <is>
          <t xml:space="preserve">   In PTCS 5 you produced 43.9/day across just 6. THE CAPACITY IS ALREADY THERE.</t>
        </is>
      </c>
    </row>
    <row r="20" ht="15" customHeight="1" s="14">
      <c r="A20" s="24" t="inlineStr">
        <is>
          <t xml:space="preserve">   This is a REDISTRIBUTION problem, not an effort problem.</t>
        </is>
      </c>
    </row>
    <row r="21" ht="15" customHeight="1" s="14">
      <c r="A21" s="24" t="n"/>
    </row>
    <row r="22" ht="15" customHeight="1" s="14">
      <c r="A22" s="24" t="inlineStr">
        <is>
          <t>PTCS 5 OVERKILL — 418 points spent above the cutoff:</t>
        </is>
      </c>
    </row>
    <row r="23" ht="15" customHeight="1" s="14">
      <c r="A23" s="24" t="inlineStr">
        <is>
          <t xml:space="preserve">      Diamond  283 vs  81 needed   = +202 wasted</t>
        </is>
      </c>
    </row>
    <row r="24" ht="15" customHeight="1" s="14">
      <c r="A24" s="24" t="inlineStr">
        <is>
          <t xml:space="preserve">      PD Daily 403 vs 267 needed   = +136 wasted</t>
        </is>
      </c>
    </row>
    <row r="25" ht="15" customHeight="1" s="14">
      <c r="A25" s="24" t="inlineStr">
        <is>
          <t xml:space="preserve">      Gold/Cap/Live                = +80 combined</t>
        </is>
      </c>
    </row>
    <row r="26" ht="15" customHeight="1" s="14">
      <c r="A26" s="24" t="inlineStr">
        <is>
          <t xml:space="preserve">   That Diamond surplus alone is roughly Iron + Bronze targets COMBINED.</t>
        </is>
      </c>
    </row>
    <row r="27" ht="15" customHeight="1" s="14">
      <c r="A27" s="24" t="n"/>
    </row>
    <row r="28" ht="15" customHeight="1" s="14">
      <c r="A28" s="24" t="inlineStr">
        <is>
          <t>• THE RULE: once a category clears its target, STOP feeding it and move those entries to a laggard.</t>
        </is>
      </c>
    </row>
    <row r="29" ht="15" customHeight="1" s="14">
      <c r="A29" s="24" t="inlineStr">
        <is>
          <t xml:space="preserve">   Check the Gap column daily. Anything at 0 = redirect.</t>
        </is>
      </c>
    </row>
    <row r="30" ht="15" customHeight="1" s="14">
      <c r="A30" s="24" t="n"/>
    </row>
    <row r="31" ht="15" customHeight="1" s="14">
      <c r="A31" s="24" t="inlineStr">
        <is>
          <t>• SLOTS: the 4-tournament cap is CONCURRENT, not daily. Events fire on fixed times all day and free</t>
        </is>
      </c>
    </row>
    <row r="32" ht="15" customHeight="1" s="14">
      <c r="A32" s="24" t="inlineStr">
        <is>
          <t xml:space="preserve">   the slot, so you can run 10-15 tournaments/day. Keep all 4 slots full at all times — an idle</t>
        </is>
      </c>
    </row>
    <row r="33" ht="15" customHeight="1" s="14">
      <c r="A33" s="24" t="inlineStr">
        <is>
          <t xml:space="preserve">   slot is the only real waste.</t>
        </is>
      </c>
    </row>
    <row r="34" ht="15" customHeight="1" s="14">
      <c r="A34" s="24" t="n"/>
    </row>
    <row r="35" ht="15" customHeight="1" s="14">
      <c r="A35" s="24" t="inlineStr">
        <is>
          <t>MULTI-TAG EVENTS still do the heavy lifting:</t>
        </is>
      </c>
    </row>
    <row r="36" ht="15" customHeight="1" s="14">
      <c r="A36" s="24" t="inlineStr">
        <is>
          <t xml:space="preserve">   • 'Daily Live &lt;Tier&gt;'   -&gt; that Tier + LIVE   (Live Iron/Bronze/Silver/Gold/Diamond/Open)</t>
        </is>
      </c>
    </row>
    <row r="37" ht="15" customHeight="1" s="14">
      <c r="A37" s="24" t="inlineStr">
        <is>
          <t xml:space="preserve">   • '&lt;Tier&gt; Cap' / 'Slots'-&gt; that Tier + CAP    (Iron Cap, Bronze Cap, Silver Slots, Gold Slots, Diamond Slots, Open High Cap)</t>
        </is>
      </c>
    </row>
    <row r="38" ht="15" customHeight="1" s="14">
      <c r="A38" s="24" t="inlineStr">
        <is>
          <t xml:space="preserve">   • Live DRAFTS           -&gt; PD Daily + LIVE    (Live Breakfast / Speed Run / All Night / Don't Forget)</t>
        </is>
      </c>
    </row>
    <row r="39" ht="15" customHeight="1" s="14">
      <c r="A39" s="24" t="inlineStr">
        <is>
          <t xml:space="preserve">   -&gt; Live and Cap should never need a dedicated slot; they ride along on everything.</t>
        </is>
      </c>
    </row>
    <row r="40" ht="15" customHeight="1" s="14">
      <c r="A40" s="24" t="n"/>
    </row>
    <row r="41" ht="15" customHeight="1" s="14">
      <c r="A41" s="24" t="inlineStr">
        <is>
          <t>• DAILY SHAPE: keep 4 slots full, rotating tiers so Iron/Bronze/Silver/Gold/Diamond/Open each get</t>
        </is>
      </c>
    </row>
    <row r="42" ht="15" customHeight="1" s="14">
      <c r="A42" s="24" t="inlineStr">
        <is>
          <t xml:space="preserve">   2-3 entries a day. Prefer the Live-&lt;tier&gt; and &lt;tier&gt;-Cap variants over the plain version -</t>
        </is>
      </c>
    </row>
    <row r="43" ht="15" customHeight="1" s="14">
      <c r="A43" s="24" t="inlineStr">
        <is>
          <t xml:space="preserve">   same effort, two categories.</t>
        </is>
      </c>
    </row>
    <row r="44" ht="15" customHeight="1" s="14">
      <c r="A44" s="24" t="n"/>
    </row>
    <row r="45" ht="15" customHeight="1" s="14">
      <c r="A45" s="24" t="inlineStr">
        <is>
          <t>LESSONS FROM PTCS 5 (5 of 6 berths):</t>
        </is>
      </c>
    </row>
    <row r="46" ht="15" customHeight="1" s="14">
      <c r="A46" s="24" t="inlineStr">
        <is>
          <t xml:space="preserve">   • Start every category DAY ONE - Silver missed by 16 only because it began in week 3.</t>
        </is>
      </c>
    </row>
    <row r="47" ht="15" customHeight="1" s="14">
      <c r="A47" s="24" t="inlineStr">
        <is>
          <t xml:space="preserve">   • Points are convex: a WIN in a 64 = 25 pts, 17th-32nd = 1. Deep runs &gt;&gt; volume.</t>
        </is>
      </c>
    </row>
    <row r="48" ht="15" customHeight="1" s="14">
      <c r="A48" s="24" t="inlineStr">
        <is>
          <t xml:space="preserve">   • Best EV events: Diamonds are Forever 4.46/entry, Diamond &amp; Friends Slots 3.93, Daily Diamond 2.77.</t>
        </is>
      </c>
    </row>
    <row r="49" ht="15" customHeight="1" s="14">
      <c r="A49" s="24" t="inlineStr">
        <is>
          <t xml:space="preserve">   • You convert better in 64-team fields (2.72/entry vs 1.75 in 128s), but 128s pay ~50% more at</t>
        </is>
      </c>
    </row>
    <row r="50" ht="15" customHeight="1" s="14">
      <c r="A50" s="24" t="inlineStr">
        <is>
          <t xml:space="preserve">     the top - take 128s when you NEED a big score, 64s when accumulating.</t>
        </is>
      </c>
    </row>
    <row r="51" ht="15" customHeight="1" s="14">
      <c r="A51" s="24" t="inlineStr">
        <is>
          <t xml:space="preserve">   • Fields do NOT soften late in a period (verified across 6,175 tournaments) - no reason to wait.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6" customWidth="1" style="13" min="2" max="2"/>
    <col width="8" customWidth="1" style="13" min="3" max="6"/>
    <col width="9" customWidth="1" style="13" min="7" max="7"/>
    <col width="8" customWidth="1" style="13" min="8" max="10"/>
    <col width="10" customWidth="1" style="13" min="11" max="12"/>
    <col width="52" customWidth="1" style="13" min="13" max="13"/>
  </cols>
  <sheetData>
    <row r="1" ht="18" customHeight="1" s="14">
      <c r="A1" s="15" t="inlineStr">
        <is>
          <t>PTCS 6 — Daily Log (Aug 3 – Sep 6)</t>
        </is>
      </c>
    </row>
    <row r="2" ht="15" customHeight="1" s="14">
      <c r="A2" s="16" t="inlineStr">
        <is>
          <t>All 10 categories. 5-week period. Enter points earned per day.</t>
        </is>
      </c>
    </row>
    <row r="4" ht="15" customHeight="1" s="14">
      <c r="A4" s="17" t="inlineStr">
        <is>
          <t>Date</t>
        </is>
      </c>
      <c r="B4" s="17" t="inlineStr">
        <is>
          <t>Day</t>
        </is>
      </c>
      <c r="C4" s="17" t="inlineStr">
        <is>
          <t>Iron</t>
        </is>
      </c>
      <c r="D4" s="17" t="inlineStr">
        <is>
          <t>Bronze</t>
        </is>
      </c>
      <c r="E4" s="17" t="inlineStr">
        <is>
          <t>Silver</t>
        </is>
      </c>
      <c r="F4" s="17" t="inlineStr">
        <is>
          <t>Gold</t>
        </is>
      </c>
      <c r="G4" s="17" t="inlineStr">
        <is>
          <t>Diamond</t>
        </is>
      </c>
      <c r="H4" s="17" t="inlineStr">
        <is>
          <t>Open</t>
        </is>
      </c>
      <c r="I4" s="17" t="inlineStr">
        <is>
          <t>Live</t>
        </is>
      </c>
      <c r="J4" s="17" t="inlineStr">
        <is>
          <t>Cap</t>
        </is>
      </c>
      <c r="K4" s="17" t="inlineStr">
        <is>
          <t>PD Daily</t>
        </is>
      </c>
      <c r="L4" s="17" t="inlineStr">
        <is>
          <t>PD Weekly</t>
        </is>
      </c>
      <c r="M4" s="17" t="inlineStr">
        <is>
          <t>Notes</t>
        </is>
      </c>
    </row>
    <row r="5" ht="15" customHeight="1" s="14">
      <c r="A5" s="25" t="inlineStr">
        <is>
          <t>Mon Aug 3</t>
        </is>
      </c>
      <c r="B5" s="25" t="inlineStr">
        <is>
          <t>Mon</t>
        </is>
      </c>
      <c r="C5" s="20" t="n">
        <v>0</v>
      </c>
      <c r="D5" s="20" t="n">
        <v>0</v>
      </c>
      <c r="E5" s="20" t="n">
        <v>4</v>
      </c>
      <c r="F5" s="20" t="n">
        <v>1</v>
      </c>
      <c r="G5" s="20" t="n">
        <v>45</v>
      </c>
      <c r="H5" s="20" t="n">
        <v>1</v>
      </c>
      <c r="I5" s="20" t="n">
        <v>1</v>
      </c>
      <c r="J5" s="20" t="n">
        <v>31</v>
      </c>
      <c r="K5" s="20" t="n">
        <v>11</v>
      </c>
      <c r="L5" s="20" t="n">
        <v>0</v>
      </c>
      <c r="M5" s="25" t="inlineStr">
        <is>
          <t>HUGE: D&amp;Friends Slots WINNER +25 Dia/+25 Cap; Diamond Heart 2nd +20 Dia; Meeting 3/4 +10 PDD; Deadball 9-16 +3S/+3C</t>
        </is>
      </c>
    </row>
    <row r="6" ht="15" customHeight="1" s="14">
      <c r="A6" s="25" t="inlineStr">
        <is>
          <t>Tue Aug 4</t>
        </is>
      </c>
      <c r="B6" s="25" t="inlineStr">
        <is>
          <t>Tue</t>
        </is>
      </c>
      <c r="C6" s="20" t="n">
        <v>0</v>
      </c>
      <c r="D6" s="20" t="n">
        <v>0</v>
      </c>
      <c r="E6" s="20" t="n">
        <v>6</v>
      </c>
      <c r="F6" s="20" t="n">
        <v>3</v>
      </c>
      <c r="G6" s="20" t="n">
        <v>10</v>
      </c>
      <c r="H6" s="20" t="n">
        <v>0</v>
      </c>
      <c r="I6" s="20" t="n">
        <v>0</v>
      </c>
      <c r="J6" s="20" t="n">
        <v>6</v>
      </c>
      <c r="K6" s="20" t="n">
        <v>3</v>
      </c>
      <c r="L6" s="20" t="n">
        <v>0</v>
      </c>
      <c r="M6" s="25" t="inlineStr">
        <is>
          <t>Deadball Slots 5-8 +6S/+6C; Diamond Heart 5-8 +10D; Early Gold 17-32 +3G; Struggling 9-16 +3P</t>
        </is>
      </c>
    </row>
    <row r="7" ht="15" customHeight="1" s="14">
      <c r="A7" s="25" t="inlineStr">
        <is>
          <t>Wed Aug 5</t>
        </is>
      </c>
      <c r="B7" s="25" t="inlineStr">
        <is>
          <t>Wed</t>
        </is>
      </c>
      <c r="C7" s="20" t="n">
        <v>0</v>
      </c>
      <c r="D7" s="20" t="n">
        <v>0</v>
      </c>
      <c r="E7" s="20" t="n">
        <v>4</v>
      </c>
      <c r="F7" s="20" t="n">
        <v>0</v>
      </c>
      <c r="G7" s="20" t="n">
        <v>1</v>
      </c>
      <c r="H7" s="20" t="n">
        <v>3</v>
      </c>
      <c r="I7" s="20" t="n">
        <v>0</v>
      </c>
      <c r="J7" s="20" t="n">
        <v>2</v>
      </c>
      <c r="K7" s="20" t="n">
        <v>0</v>
      </c>
      <c r="L7" s="20" t="n">
        <v>0</v>
      </c>
      <c r="M7" s="25" t="inlineStr">
        <is>
          <t>quiet - all 17-32s. Open OPENED +3 (Night of Living Deadball)</t>
        </is>
      </c>
    </row>
    <row r="8" ht="15" customHeight="1" s="14">
      <c r="A8" s="25" t="inlineStr">
        <is>
          <t>Thu Aug 6</t>
        </is>
      </c>
      <c r="B8" s="25" t="inlineStr">
        <is>
          <t>Thu</t>
        </is>
      </c>
      <c r="C8" s="20" t="n">
        <v>0</v>
      </c>
      <c r="D8" s="20" t="n">
        <v>0</v>
      </c>
      <c r="E8" s="20" t="n">
        <v>7</v>
      </c>
      <c r="F8" s="20" t="n">
        <v>7</v>
      </c>
      <c r="G8" s="20" t="n">
        <v>1</v>
      </c>
      <c r="H8" s="20" t="n">
        <v>0</v>
      </c>
      <c r="I8" s="20" t="n">
        <v>11</v>
      </c>
      <c r="J8" s="20" t="n">
        <v>1</v>
      </c>
      <c r="K8" s="20" t="n">
        <v>12</v>
      </c>
      <c r="L8" s="20" t="n">
        <v>0</v>
      </c>
      <c r="M8" s="25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 ht="15" customHeight="1" s="14">
      <c r="A9" s="25" t="inlineStr">
        <is>
          <t>Fri Aug 7</t>
        </is>
      </c>
      <c r="B9" s="25" t="inlineStr">
        <is>
          <t>Fri</t>
        </is>
      </c>
      <c r="C9" s="20" t="n">
        <v>0</v>
      </c>
      <c r="D9" s="20" t="n">
        <v>0</v>
      </c>
      <c r="E9" s="20" t="n">
        <v>0</v>
      </c>
      <c r="F9" s="20" t="n">
        <v>16</v>
      </c>
      <c r="G9" s="20" t="n">
        <v>6</v>
      </c>
      <c r="H9" s="20" t="n">
        <v>0</v>
      </c>
      <c r="I9" s="20" t="n">
        <v>0</v>
      </c>
      <c r="J9" s="20" t="n">
        <v>6</v>
      </c>
      <c r="K9" s="20" t="n">
        <v>30</v>
      </c>
      <c r="L9" s="20" t="n">
        <v>0</v>
      </c>
      <c r="M9" s="25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 ht="15" customHeight="1" s="14">
      <c r="A10" s="25" t="inlineStr">
        <is>
          <t>Sat Aug 8</t>
        </is>
      </c>
      <c r="B10" s="25" t="inlineStr">
        <is>
          <t>Sat</t>
        </is>
      </c>
      <c r="C10" s="20" t="n">
        <v>0</v>
      </c>
      <c r="D10" s="20" t="n">
        <v>0</v>
      </c>
      <c r="E10" s="20" t="n">
        <v>4</v>
      </c>
      <c r="F10" s="20" t="n">
        <v>1</v>
      </c>
      <c r="G10" s="20" t="n">
        <v>3</v>
      </c>
      <c r="H10" s="20" t="n">
        <v>0</v>
      </c>
      <c r="I10" s="20" t="n">
        <v>0</v>
      </c>
      <c r="J10" s="20" t="n">
        <v>0</v>
      </c>
      <c r="K10" s="20" t="n">
        <v>7</v>
      </c>
      <c r="L10" s="20" t="n">
        <v>0</v>
      </c>
      <c r="M10" s="25" t="inlineStr">
        <is>
          <t>Just Order Pizza 5-8 +6P; Late Silver 17-32 +3S; Diamond Heart 17-32 +3D; Slamboree 33-64 +1S; Golden Heart 17-32 +1G; Look Busy 17-32 +1P. PTCS 5 PLAYED (see PTCS-PTMS sheet)</t>
        </is>
      </c>
    </row>
    <row r="11" ht="15" customHeight="1" s="14">
      <c r="A11" s="25" t="inlineStr">
        <is>
          <t>Sun Aug 9</t>
        </is>
      </c>
      <c r="B11" s="25" t="inlineStr">
        <is>
          <t>Sun</t>
        </is>
      </c>
      <c r="C11" s="20" t="n">
        <v>0</v>
      </c>
      <c r="D11" s="20" t="n">
        <v>0</v>
      </c>
      <c r="E11" s="20" t="n">
        <v>13</v>
      </c>
      <c r="F11" s="20" t="n">
        <v>1</v>
      </c>
      <c r="G11" s="20" t="n">
        <v>4</v>
      </c>
      <c r="H11" s="20" t="n">
        <v>0</v>
      </c>
      <c r="I11" s="20" t="n">
        <v>0</v>
      </c>
      <c r="J11" s="20" t="n">
        <v>3</v>
      </c>
      <c r="K11" s="20" t="n">
        <v>10</v>
      </c>
      <c r="L11" s="20" t="n">
        <v>1</v>
      </c>
      <c r="M11" s="25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 ht="15" customHeight="1" s="14">
      <c r="A12" s="25" t="inlineStr">
        <is>
          <t>Mon Aug 10</t>
        </is>
      </c>
      <c r="B12" s="25" t="inlineStr">
        <is>
          <t>Mon</t>
        </is>
      </c>
      <c r="C12" s="20" t="n">
        <v>0</v>
      </c>
      <c r="D12" s="20" t="n">
        <v>0</v>
      </c>
      <c r="E12" s="20" t="n">
        <v>3</v>
      </c>
      <c r="F12" s="20" t="n">
        <v>4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10</v>
      </c>
      <c r="L12" s="20" t="n">
        <v>0</v>
      </c>
      <c r="M12" s="25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 ht="15" customHeight="1" s="14">
      <c r="A13" s="25" t="inlineStr">
        <is>
          <t>Tue Aug 11</t>
        </is>
      </c>
      <c r="B13" s="25" t="inlineStr">
        <is>
          <t>Tue</t>
        </is>
      </c>
      <c r="C13" s="20" t="n">
        <v>0</v>
      </c>
      <c r="D13" s="20" t="n">
        <v>0</v>
      </c>
      <c r="E13" s="20" t="n">
        <v>6</v>
      </c>
      <c r="F13" s="20" t="n">
        <v>3</v>
      </c>
      <c r="G13" s="20" t="n">
        <v>2</v>
      </c>
      <c r="H13" s="20" t="n">
        <v>0</v>
      </c>
      <c r="I13" s="20" t="n">
        <v>0</v>
      </c>
      <c r="J13" s="20" t="n">
        <v>4</v>
      </c>
      <c r="K13" s="20" t="n">
        <v>7</v>
      </c>
      <c r="L13" s="20" t="n">
        <v>1</v>
      </c>
      <c r="M13" s="25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 ht="15" customHeight="1" s="14">
      <c r="A14" s="25" t="inlineStr">
        <is>
          <t>Wed Aug 12</t>
        </is>
      </c>
      <c r="B14" s="25" t="inlineStr">
        <is>
          <t>Wed</t>
        </is>
      </c>
      <c r="C14" s="20" t="n">
        <v>0</v>
      </c>
      <c r="D14" s="20" t="n">
        <v>10</v>
      </c>
      <c r="E14" s="20" t="n">
        <v>0</v>
      </c>
      <c r="F14" s="20" t="n">
        <v>3</v>
      </c>
      <c r="G14" s="20" t="n">
        <v>1</v>
      </c>
      <c r="H14" s="20" t="n">
        <v>0</v>
      </c>
      <c r="I14" s="20" t="n">
        <v>0</v>
      </c>
      <c r="J14" s="20" t="n">
        <v>0</v>
      </c>
      <c r="K14" s="20" t="n">
        <v>10</v>
      </c>
      <c r="L14" s="20" t="n">
        <v>0</v>
      </c>
      <c r="M14" s="25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 ht="15" customHeight="1" s="14">
      <c r="A15" s="25" t="inlineStr">
        <is>
          <t>Thu Aug 13</t>
        </is>
      </c>
      <c r="B15" s="25" t="inlineStr">
        <is>
          <t>Thu</t>
        </is>
      </c>
      <c r="C15" s="20" t="n">
        <v>0</v>
      </c>
      <c r="D15" s="20" t="n">
        <v>4</v>
      </c>
      <c r="E15" s="20" t="n">
        <v>1</v>
      </c>
      <c r="F15" s="20" t="n">
        <v>3</v>
      </c>
      <c r="G15" s="20" t="n">
        <v>1</v>
      </c>
      <c r="H15" s="20" t="n">
        <v>0</v>
      </c>
      <c r="I15" s="20" t="n">
        <v>0</v>
      </c>
      <c r="J15" s="20" t="n">
        <v>2</v>
      </c>
      <c r="K15" s="20" t="n">
        <v>13</v>
      </c>
      <c r="L15" s="20" t="n">
        <v>0</v>
      </c>
      <c r="M15" s="25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 ht="15" customHeight="1" s="14">
      <c r="A16" s="25" t="inlineStr">
        <is>
          <t>Fri Aug 14</t>
        </is>
      </c>
      <c r="B16" s="25" t="inlineStr">
        <is>
          <t>Fri</t>
        </is>
      </c>
      <c r="C16" s="20" t="n">
        <v>0</v>
      </c>
      <c r="D16" s="20" t="n">
        <v>0</v>
      </c>
      <c r="E16" s="20" t="n">
        <v>15</v>
      </c>
      <c r="F16" s="20" t="n">
        <v>0</v>
      </c>
      <c r="G16" s="20" t="n">
        <v>3</v>
      </c>
      <c r="H16" s="20" t="n">
        <v>0</v>
      </c>
      <c r="I16" s="20" t="n">
        <v>0</v>
      </c>
      <c r="J16" s="20" t="n">
        <v>18</v>
      </c>
      <c r="K16" s="20" t="n">
        <v>5</v>
      </c>
      <c r="L16" s="20" t="n">
        <v>1</v>
      </c>
      <c r="M16" s="25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 ht="15" customHeight="1" s="14">
      <c r="A17" s="25" t="inlineStr">
        <is>
          <t>Sat Aug 15</t>
        </is>
      </c>
      <c r="B17" s="25" t="inlineStr">
        <is>
          <t>Sat</t>
        </is>
      </c>
      <c r="C17" s="20" t="n">
        <v>0</v>
      </c>
      <c r="D17" s="20" t="n">
        <v>26</v>
      </c>
      <c r="E17" s="20" t="n">
        <v>1</v>
      </c>
      <c r="F17" s="20" t="n">
        <v>5</v>
      </c>
      <c r="G17" s="20" t="n">
        <v>15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1</v>
      </c>
      <c r="M17" s="25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 ht="15" customHeight="1" s="14">
      <c r="A18" s="25" t="inlineStr">
        <is>
          <t>Sun Aug 16</t>
        </is>
      </c>
      <c r="B18" s="25" t="inlineStr">
        <is>
          <t>Sun</t>
        </is>
      </c>
      <c r="C18" s="20" t="n">
        <v>0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3</v>
      </c>
      <c r="I18" s="20" t="n">
        <v>0</v>
      </c>
      <c r="J18" s="20" t="n">
        <v>1</v>
      </c>
      <c r="K18" s="20" t="n">
        <v>26</v>
      </c>
      <c r="L18" s="20" t="n">
        <v>4</v>
      </c>
      <c r="M18" s="25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 ht="15" customHeight="1" s="14">
      <c r="A19" s="25" t="inlineStr">
        <is>
          <t>Mon Aug 17</t>
        </is>
      </c>
      <c r="B19" s="25" t="inlineStr">
        <is>
          <t>Mon</t>
        </is>
      </c>
      <c r="C19" s="20" t="n">
        <v>0</v>
      </c>
      <c r="D19" s="20" t="n">
        <v>19</v>
      </c>
      <c r="E19" s="20" t="n">
        <v>0</v>
      </c>
      <c r="F19" s="20" t="n">
        <v>0</v>
      </c>
      <c r="G19" s="20" t="n">
        <v>1</v>
      </c>
      <c r="H19" s="20" t="n">
        <v>0</v>
      </c>
      <c r="I19" s="20" t="n">
        <v>0</v>
      </c>
      <c r="J19" s="20" t="n">
        <v>1</v>
      </c>
      <c r="K19" s="20" t="n">
        <v>7</v>
      </c>
      <c r="L19" s="20" t="n">
        <v>0</v>
      </c>
      <c r="M19" s="25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 ht="15" customHeight="1" s="14">
      <c r="A20" s="25" t="inlineStr">
        <is>
          <t>Tue Aug 18</t>
        </is>
      </c>
      <c r="B20" s="25" t="inlineStr">
        <is>
          <t>Tue</t>
        </is>
      </c>
      <c r="C20" s="20" t="n">
        <v>0</v>
      </c>
      <c r="D20" s="20" t="n">
        <v>4</v>
      </c>
      <c r="E20" s="20" t="n">
        <v>15</v>
      </c>
      <c r="F20" s="20" t="n">
        <v>1</v>
      </c>
      <c r="G20" s="20" t="n">
        <v>1</v>
      </c>
      <c r="H20" s="20" t="n">
        <v>0</v>
      </c>
      <c r="I20" s="20" t="n">
        <v>0</v>
      </c>
      <c r="J20" s="20" t="n">
        <v>2</v>
      </c>
      <c r="K20" s="20" t="n">
        <v>28</v>
      </c>
      <c r="L20" s="20" t="n">
        <v>0</v>
      </c>
      <c r="M20" s="25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 ht="15" customHeight="1" s="14">
      <c r="A21" s="25" t="inlineStr">
        <is>
          <t>Wed Aug 19</t>
        </is>
      </c>
      <c r="B21" s="25" t="inlineStr">
        <is>
          <t>Wed</t>
        </is>
      </c>
      <c r="C21" s="20" t="n">
        <v>0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1</v>
      </c>
      <c r="I21" s="20" t="n">
        <v>0</v>
      </c>
      <c r="J21" s="20" t="n">
        <v>1</v>
      </c>
      <c r="K21" s="20" t="n">
        <v>1</v>
      </c>
      <c r="L21" s="20" t="n">
        <v>0</v>
      </c>
      <c r="M21" s="25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 ht="15" customHeight="1" s="14">
      <c r="A22" s="25" t="inlineStr">
        <is>
          <t>Thu Aug 20</t>
        </is>
      </c>
      <c r="B22" s="25" t="inlineStr">
        <is>
          <t>Thu</t>
        </is>
      </c>
      <c r="C22" s="20" t="n">
        <v>0</v>
      </c>
      <c r="D22" s="20" t="n">
        <v>1</v>
      </c>
      <c r="E22" s="20" t="n">
        <v>1</v>
      </c>
      <c r="F22" s="20" t="n">
        <v>10</v>
      </c>
      <c r="G22" s="20" t="n">
        <v>3</v>
      </c>
      <c r="H22" s="20" t="n">
        <v>0</v>
      </c>
      <c r="I22" s="20" t="n">
        <v>0</v>
      </c>
      <c r="J22" s="20" t="n">
        <v>13</v>
      </c>
      <c r="K22" s="20" t="n">
        <v>0</v>
      </c>
      <c r="L22" s="20" t="n">
        <v>0</v>
      </c>
      <c r="M22" s="25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 ht="15" customHeight="1" s="14">
      <c r="A23" s="25" t="inlineStr">
        <is>
          <t>Fri Aug 21</t>
        </is>
      </c>
      <c r="B23" s="25" t="inlineStr">
        <is>
          <t>Fri</t>
        </is>
      </c>
      <c r="C23" s="20" t="n">
        <v>0</v>
      </c>
      <c r="D23" s="20" t="n">
        <v>45</v>
      </c>
      <c r="E23" s="20" t="n">
        <v>0</v>
      </c>
      <c r="F23" s="20" t="n">
        <v>4</v>
      </c>
      <c r="G23" s="20" t="n">
        <v>0</v>
      </c>
      <c r="H23" s="20" t="n">
        <v>0</v>
      </c>
      <c r="I23" s="20" t="n">
        <v>0</v>
      </c>
      <c r="J23" s="20" t="n">
        <v>3</v>
      </c>
      <c r="K23" s="20" t="n">
        <v>1</v>
      </c>
      <c r="L23" s="20" t="n">
        <v>15</v>
      </c>
      <c r="M23" s="25" t="inlineStr">
        <is>
          <t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      </is>
      </c>
    </row>
    <row r="24" ht="15" customHeight="1" s="14">
      <c r="A24" s="25" t="inlineStr">
        <is>
          <t>Sat Aug 22</t>
        </is>
      </c>
      <c r="B24" s="25" t="inlineStr">
        <is>
          <t>Sat</t>
        </is>
      </c>
      <c r="C24" s="20" t="n">
        <v>0</v>
      </c>
      <c r="D24" s="20" t="n">
        <v>0</v>
      </c>
      <c r="E24" s="20" t="n">
        <v>0</v>
      </c>
      <c r="F24" s="20" t="n">
        <v>4</v>
      </c>
      <c r="G24" s="20" t="n">
        <v>0</v>
      </c>
      <c r="H24" s="20" t="n">
        <v>0</v>
      </c>
      <c r="I24" s="20" t="n">
        <v>0</v>
      </c>
      <c r="J24" s="20" t="n">
        <v>3</v>
      </c>
      <c r="K24" s="20" t="n">
        <v>4</v>
      </c>
      <c r="L24" s="20" t="n">
        <v>18</v>
      </c>
      <c r="M24" s="25" t="inlineStr">
        <is>
          <t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      </is>
      </c>
    </row>
    <row r="25" ht="15" customHeight="1" s="14">
      <c r="A25" s="25" t="inlineStr">
        <is>
          <t>Sun Aug 23</t>
        </is>
      </c>
      <c r="B25" s="25" t="inlineStr">
        <is>
          <t>Sun</t>
        </is>
      </c>
      <c r="C25" s="20" t="n">
        <v>0</v>
      </c>
      <c r="D25" s="20" t="n">
        <v>0</v>
      </c>
      <c r="E25" s="20" t="n">
        <v>1</v>
      </c>
      <c r="F25" s="20" t="n">
        <v>8</v>
      </c>
      <c r="G25" s="20" t="n">
        <v>0</v>
      </c>
      <c r="H25" s="20" t="n">
        <v>3</v>
      </c>
      <c r="I25" s="20" t="n">
        <v>0</v>
      </c>
      <c r="J25" s="20" t="n">
        <v>7</v>
      </c>
      <c r="K25" s="20" t="n">
        <v>24</v>
      </c>
      <c r="L25" s="20" t="n">
        <v>0</v>
      </c>
      <c r="M25" s="25" t="inlineStr">
        <is>
          <t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      </is>
      </c>
    </row>
    <row r="26" ht="15" customHeight="1" s="14">
      <c r="A26" s="25" t="inlineStr">
        <is>
          <t>Mon Aug 24</t>
        </is>
      </c>
      <c r="B26" s="25" t="inlineStr">
        <is>
          <t>Mon</t>
        </is>
      </c>
      <c r="C26" s="20" t="n">
        <v>0</v>
      </c>
      <c r="D26" s="20" t="n">
        <v>1</v>
      </c>
      <c r="E26" s="20" t="n">
        <v>0</v>
      </c>
      <c r="F26" s="20" t="n">
        <v>4</v>
      </c>
      <c r="G26" s="20" t="n">
        <v>10</v>
      </c>
      <c r="H26" s="20" t="n">
        <v>0</v>
      </c>
      <c r="I26" s="20" t="n">
        <v>0</v>
      </c>
      <c r="J26" s="20" t="n">
        <v>4</v>
      </c>
      <c r="K26" s="20" t="n">
        <v>3</v>
      </c>
      <c r="L26" s="20" t="n">
        <v>0</v>
      </c>
      <c r="M26" s="25" t="inlineStr">
        <is>
          <t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      </is>
      </c>
    </row>
    <row r="27" ht="15" customHeight="1" s="14">
      <c r="A27" s="25" t="inlineStr">
        <is>
          <t>Tue Aug 25</t>
        </is>
      </c>
      <c r="B27" s="25" t="inlineStr">
        <is>
          <t>Tue</t>
        </is>
      </c>
      <c r="C27" s="20" t="n">
        <v>0</v>
      </c>
      <c r="D27" s="20" t="n">
        <v>0</v>
      </c>
      <c r="E27" s="20" t="n">
        <v>0</v>
      </c>
      <c r="F27" s="20" t="n">
        <v>0</v>
      </c>
      <c r="G27" s="20" t="n">
        <v>6</v>
      </c>
      <c r="H27" s="20" t="n">
        <v>0</v>
      </c>
      <c r="I27" s="20" t="n">
        <v>0</v>
      </c>
      <c r="J27" s="20" t="n">
        <v>3</v>
      </c>
      <c r="K27" s="20" t="n">
        <v>4</v>
      </c>
      <c r="L27" s="20" t="n">
        <v>0</v>
      </c>
      <c r="M27" s="25" t="inlineStr">
        <is>
          <t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      </is>
      </c>
    </row>
    <row r="28" ht="15" customHeight="1" s="14">
      <c r="A28" s="25" t="inlineStr">
        <is>
          <t>Wed Aug 26</t>
        </is>
      </c>
      <c r="B28" s="25" t="inlineStr">
        <is>
          <t>Wed</t>
        </is>
      </c>
      <c r="C28" s="20" t="n">
        <v>0</v>
      </c>
      <c r="D28" s="20" t="n">
        <v>0</v>
      </c>
      <c r="E28" s="20" t="n">
        <v>1</v>
      </c>
      <c r="F28" s="20" t="n">
        <v>0</v>
      </c>
      <c r="G28" s="20" t="n">
        <v>1</v>
      </c>
      <c r="H28" s="20" t="n">
        <v>0</v>
      </c>
      <c r="I28" s="20" t="n">
        <v>0</v>
      </c>
      <c r="J28" s="20" t="n">
        <v>1</v>
      </c>
      <c r="K28" s="20" t="n">
        <v>12</v>
      </c>
      <c r="L28" s="20" t="n">
        <v>0</v>
      </c>
      <c r="M28" s="25" t="inlineStr">
        <is>
          <t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      </is>
      </c>
    </row>
    <row r="29" ht="15" customHeight="1" s="14">
      <c r="A29" s="25" t="inlineStr">
        <is>
          <t>Thu Aug 27</t>
        </is>
      </c>
      <c r="B29" s="25" t="inlineStr">
        <is>
          <t>Thu</t>
        </is>
      </c>
      <c r="C29" s="20" t="n">
        <v>0</v>
      </c>
      <c r="D29" s="20" t="n">
        <v>1</v>
      </c>
      <c r="E29" s="20" t="n">
        <v>10</v>
      </c>
      <c r="F29" s="20" t="n">
        <v>1</v>
      </c>
      <c r="G29" s="20" t="n">
        <v>0</v>
      </c>
      <c r="H29" s="20" t="n">
        <v>0</v>
      </c>
      <c r="I29" s="20" t="n">
        <v>0</v>
      </c>
      <c r="J29" s="20" t="n">
        <v>11</v>
      </c>
      <c r="K29" s="20" t="n">
        <v>9</v>
      </c>
      <c r="L29" s="20" t="n">
        <v>1</v>
      </c>
      <c r="M29" s="25" t="inlineStr">
        <is>
          <t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      </is>
      </c>
    </row>
    <row r="30" ht="15" customHeight="1" s="14">
      <c r="A30" s="25" t="inlineStr">
        <is>
          <t>Fri Aug 28</t>
        </is>
      </c>
      <c r="B30" s="25" t="inlineStr">
        <is>
          <t>Fri</t>
        </is>
      </c>
      <c r="C30" s="20" t="n">
        <v>0</v>
      </c>
      <c r="D30" s="20" t="n">
        <v>0</v>
      </c>
      <c r="E30" s="20" t="n">
        <v>25</v>
      </c>
      <c r="F30" s="20" t="n">
        <v>25</v>
      </c>
      <c r="G30" s="20" t="n">
        <v>6</v>
      </c>
      <c r="H30" s="20" t="n">
        <v>0</v>
      </c>
      <c r="I30" s="20" t="n">
        <v>0</v>
      </c>
      <c r="J30" s="20" t="n">
        <v>15</v>
      </c>
      <c r="K30" s="20" t="n">
        <v>7</v>
      </c>
      <c r="L30" s="20" t="n">
        <v>0</v>
      </c>
      <c r="M30" s="25" t="inlineStr">
        <is>
          <t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      </is>
      </c>
    </row>
    <row r="31" ht="15" customHeight="1" s="14">
      <c r="A31" s="25" t="inlineStr">
        <is>
          <t>Sat Aug 29</t>
        </is>
      </c>
      <c r="B31" s="25" t="inlineStr">
        <is>
          <t>Sat</t>
        </is>
      </c>
      <c r="C31" s="20" t="n">
        <v>0</v>
      </c>
      <c r="D31" s="20" t="n">
        <v>0</v>
      </c>
      <c r="E31" s="20" t="n">
        <v>2</v>
      </c>
      <c r="F31" s="20" t="n">
        <v>15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6</v>
      </c>
      <c r="L31" s="20" t="n">
        <v>0</v>
      </c>
      <c r="M31" s="25" t="inlineStr">
        <is>
          <t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      </is>
      </c>
    </row>
    <row r="32" ht="15" customHeight="1" s="14">
      <c r="A32" s="25" t="inlineStr">
        <is>
          <t>Sun Aug 30</t>
        </is>
      </c>
      <c r="B32" s="25" t="inlineStr">
        <is>
          <t>Sun</t>
        </is>
      </c>
      <c r="C32" s="20" t="n">
        <v>0</v>
      </c>
      <c r="D32" s="20" t="n">
        <v>0</v>
      </c>
      <c r="E32" s="20" t="n">
        <v>7</v>
      </c>
      <c r="F32" s="20" t="n">
        <v>6</v>
      </c>
      <c r="G32" s="20" t="n">
        <v>0</v>
      </c>
      <c r="H32" s="20" t="n">
        <v>1</v>
      </c>
      <c r="I32" s="20" t="n">
        <v>0</v>
      </c>
      <c r="J32" s="20" t="n">
        <v>7</v>
      </c>
      <c r="K32" s="20" t="n">
        <v>5</v>
      </c>
      <c r="L32" s="20" t="n">
        <v>0</v>
      </c>
      <c r="M32" s="25" t="inlineStr">
        <is>
          <t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      </is>
      </c>
    </row>
    <row r="33" ht="15" customHeight="1" s="14">
      <c r="A33" s="25" t="inlineStr">
        <is>
          <t>Mon Aug 31</t>
        </is>
      </c>
      <c r="B33" s="25" t="inlineStr">
        <is>
          <t>Mon</t>
        </is>
      </c>
      <c r="C33" s="20" t="n">
        <v>0</v>
      </c>
      <c r="D33" s="20" t="n">
        <v>4</v>
      </c>
      <c r="E33" s="20" t="n">
        <v>7</v>
      </c>
      <c r="F33" s="20" t="n">
        <v>3</v>
      </c>
      <c r="G33" s="20" t="n">
        <v>1</v>
      </c>
      <c r="H33" s="20" t="n">
        <v>0</v>
      </c>
      <c r="I33" s="20" t="n">
        <v>0</v>
      </c>
      <c r="J33" s="20" t="n">
        <v>5</v>
      </c>
      <c r="K33" s="20" t="n">
        <v>14</v>
      </c>
      <c r="L33" s="20" t="n">
        <v>10</v>
      </c>
      <c r="M33" s="25" t="inlineStr">
        <is>
          <t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      </is>
      </c>
    </row>
    <row r="34" ht="15" customHeight="1" s="14">
      <c r="A34" s="25" t="inlineStr">
        <is>
          <t>Tue Sep 1</t>
        </is>
      </c>
      <c r="B34" s="25" t="inlineStr">
        <is>
          <t>Tue</t>
        </is>
      </c>
      <c r="C34" s="20" t="n">
        <v>0</v>
      </c>
      <c r="D34" s="20" t="n">
        <v>10</v>
      </c>
      <c r="E34" s="20" t="n">
        <v>1</v>
      </c>
      <c r="F34" s="20" t="n">
        <v>3</v>
      </c>
      <c r="G34" s="20" t="n">
        <v>1</v>
      </c>
      <c r="H34" s="20" t="n">
        <v>0</v>
      </c>
      <c r="I34" s="20" t="n">
        <v>0</v>
      </c>
      <c r="J34" s="20" t="n">
        <v>12</v>
      </c>
      <c r="K34" s="20" t="n">
        <v>13</v>
      </c>
      <c r="L34" s="20" t="n">
        <v>0</v>
      </c>
      <c r="M34" s="25" t="inlineStr">
        <is>
          <t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      </is>
      </c>
    </row>
    <row r="35" ht="15" customHeight="1" s="14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6" ht="15" customHeight="1" s="14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15" customHeight="1" s="14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15" customHeight="1" s="14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15" customHeight="1" s="14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15" customHeight="1" s="14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15" customHeight="1" s="14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15" customHeight="1" s="14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15" customHeight="1" s="14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15" customHeight="1" s="1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15" customHeight="1" s="14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15" customHeight="1" s="14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15" customHeight="1" s="14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15" customHeight="1" s="14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15" customHeight="1" s="14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14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14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14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3" min="1" max="1"/>
    <col width="10" customWidth="1" style="13" min="2" max="2"/>
    <col width="16" customWidth="1" style="13" min="3" max="3"/>
    <col width="18" customWidth="1" style="13" min="4" max="4"/>
    <col width="10" customWidth="1" style="13" min="5" max="5"/>
    <col width="60" customWidth="1" style="13" min="6" max="6"/>
  </cols>
  <sheetData>
    <row r="1" ht="18" customHeight="1" s="14">
      <c r="A1" s="15" t="inlineStr">
        <is>
          <t>The Championship Ladder — PTCS → PTMS → PTWC</t>
        </is>
      </c>
    </row>
    <row r="2" ht="15" customHeight="1" s="14">
      <c r="A2" s="16" t="inlineStr">
        <is>
          <t>Separate from the 10 category standings. Source: 'PT 27 Road to the Perfect Team World Championship'.</t>
        </is>
      </c>
    </row>
    <row r="4" ht="15" customHeight="1" s="14">
      <c r="A4" s="23" t="inlineStr">
        <is>
          <t>POINTS EARNED FROM A PTCS FINISH (feeds PTMS + PTWC qualifying)</t>
        </is>
      </c>
      <c r="D4" s="23" t="inlineStr">
        <is>
          <t>YOUR PTCS 5 (Aug 8) — all 128-team fields</t>
        </is>
      </c>
    </row>
    <row r="5" ht="15" customHeight="1" s="14">
      <c r="A5" s="17" t="inlineStr">
        <is>
          <t>Finish</t>
        </is>
      </c>
      <c r="B5" s="17" t="inlineStr">
        <is>
          <t>Points</t>
        </is>
      </c>
      <c r="D5" s="17" t="inlineStr">
        <is>
          <t>Event</t>
        </is>
      </c>
      <c r="E5" s="17" t="inlineStr">
        <is>
          <t>Finish</t>
        </is>
      </c>
      <c r="F5" s="17" t="inlineStr">
        <is>
          <t>Points</t>
        </is>
      </c>
      <c r="G5" s="17" t="inlineStr">
        <is>
          <t>Standing</t>
        </is>
      </c>
    </row>
    <row r="6" ht="15" customHeight="1" s="14">
      <c r="A6" s="20" t="inlineStr">
        <is>
          <t>1st</t>
        </is>
      </c>
      <c r="B6" s="20" t="n">
        <v>300</v>
      </c>
      <c r="D6" s="25" t="inlineStr">
        <is>
          <t>PTCS Gold - Period 5</t>
        </is>
      </c>
      <c r="E6" s="20" t="inlineStr">
        <is>
          <t>17th-32nd</t>
        </is>
      </c>
      <c r="F6" s="20" t="n">
        <v>5</v>
      </c>
      <c r="G6" s="20" t="inlineStr">
        <is>
          <t>Tournament</t>
        </is>
      </c>
    </row>
    <row r="7" ht="15" customHeight="1" s="14">
      <c r="A7" s="20" t="inlineStr">
        <is>
          <t>2nd</t>
        </is>
      </c>
      <c r="B7" s="20" t="n">
        <v>100</v>
      </c>
      <c r="D7" s="25" t="inlineStr">
        <is>
          <t>PTCS Daily PD - Period 5</t>
        </is>
      </c>
      <c r="E7" s="20" t="inlineStr">
        <is>
          <t>17th-32nd</t>
        </is>
      </c>
      <c r="F7" s="20" t="n">
        <v>5</v>
      </c>
      <c r="G7" s="20" t="inlineStr">
        <is>
          <t>Perfect Draft</t>
        </is>
      </c>
    </row>
    <row r="8" ht="15" customHeight="1" s="14">
      <c r="A8" s="20" t="inlineStr">
        <is>
          <t>3rd-4th</t>
        </is>
      </c>
      <c r="B8" s="20" t="n">
        <v>75</v>
      </c>
      <c r="D8" s="25" t="inlineStr">
        <is>
          <t>PTCS Diamond - Period 5</t>
        </is>
      </c>
      <c r="E8" s="20" t="inlineStr">
        <is>
          <t>33rd-64th</t>
        </is>
      </c>
      <c r="F8" s="20" t="n">
        <v>2</v>
      </c>
      <c r="G8" s="20" t="inlineStr">
        <is>
          <t>Tournament</t>
        </is>
      </c>
    </row>
    <row r="9" ht="15" customHeight="1" s="14">
      <c r="A9" s="20" t="inlineStr">
        <is>
          <t>5th-8th</t>
        </is>
      </c>
      <c r="B9" s="20" t="n">
        <v>40</v>
      </c>
      <c r="D9" s="25" t="inlineStr">
        <is>
          <t>PTCS Cap - Period 5</t>
        </is>
      </c>
      <c r="E9" s="20" t="inlineStr">
        <is>
          <t>65th-128th</t>
        </is>
      </c>
      <c r="F9" s="20" t="n">
        <v>1</v>
      </c>
      <c r="G9" s="20" t="inlineStr">
        <is>
          <t>Tournament</t>
        </is>
      </c>
    </row>
    <row r="10" ht="15" customHeight="1" s="14">
      <c r="A10" s="20" t="inlineStr">
        <is>
          <t>9th-16th</t>
        </is>
      </c>
      <c r="B10" s="20" t="n">
        <v>20</v>
      </c>
      <c r="D10" s="25" t="inlineStr">
        <is>
          <t>PTCS Live - Period 5</t>
        </is>
      </c>
      <c r="E10" s="20" t="inlineStr">
        <is>
          <t>65th-128th</t>
        </is>
      </c>
      <c r="F10" s="20" t="n">
        <v>1</v>
      </c>
      <c r="G10" s="20" t="inlineStr">
        <is>
          <t>Tournament</t>
        </is>
      </c>
    </row>
    <row r="11" ht="15" customHeight="1" s="14">
      <c r="A11" s="20" t="inlineStr">
        <is>
          <t>17th-32nd</t>
        </is>
      </c>
      <c r="B11" s="20" t="n">
        <v>5</v>
      </c>
      <c r="D11" s="18" t="inlineStr">
        <is>
          <t>PTCS 5 TOTAL</t>
        </is>
      </c>
      <c r="E11" s="22" t="n"/>
      <c r="F11" s="18">
        <f>SUM(F6:F10)</f>
        <v/>
      </c>
      <c r="G11" s="22" t="n"/>
    </row>
    <row r="12" ht="15" customHeight="1" s="14">
      <c r="A12" s="20" t="inlineStr">
        <is>
          <t>33rd-64th</t>
        </is>
      </c>
      <c r="B12" s="20" t="n">
        <v>2</v>
      </c>
    </row>
    <row r="13" ht="15" customHeight="1" s="14">
      <c r="A13" s="20" t="inlineStr">
        <is>
          <t>65th-128th</t>
        </is>
      </c>
      <c r="B13" s="20" t="n">
        <v>1</v>
      </c>
    </row>
    <row r="16" ht="15" customHeight="1" s="14">
      <c r="A16" s="23" t="inlineStr">
        <is>
          <t>CUMULATIVE PTCS STANDINGS — top 128 in each qualifies for the PTMS</t>
        </is>
      </c>
    </row>
    <row r="17" ht="15" customHeight="1" s="14">
      <c r="A17" s="17" t="inlineStr">
        <is>
          <t>PTCS</t>
        </is>
      </c>
      <c r="B17" s="17" t="inlineStr">
        <is>
          <t>Date</t>
        </is>
      </c>
      <c r="C17" s="17" t="inlineStr">
        <is>
          <t>Tournament pts</t>
        </is>
      </c>
      <c r="D17" s="17" t="inlineStr">
        <is>
          <t>Perfect Draft pts</t>
        </is>
      </c>
      <c r="E17" s="17" t="inlineStr">
        <is>
          <t>Total</t>
        </is>
      </c>
      <c r="F17" s="17" t="inlineStr">
        <is>
          <t>Notes</t>
        </is>
      </c>
    </row>
    <row r="18" ht="15" customHeight="1" s="14">
      <c r="A18" s="25" t="inlineStr">
        <is>
          <t>PTCS 1</t>
        </is>
      </c>
      <c r="B18" s="20" t="inlineStr">
        <is>
          <t>Apr 11</t>
        </is>
      </c>
      <c r="C18" s="20" t="n">
        <v>0</v>
      </c>
      <c r="D18" s="20" t="n">
        <v>0</v>
      </c>
      <c r="E18" s="20" t="n">
        <v>0</v>
      </c>
      <c r="F18" s="25" t="inlineStr">
        <is>
          <t>did not qualify</t>
        </is>
      </c>
    </row>
    <row r="19" ht="15" customHeight="1" s="14">
      <c r="A19" s="25" t="inlineStr">
        <is>
          <t>PTCS 2</t>
        </is>
      </c>
      <c r="B19" s="20" t="inlineStr">
        <is>
          <t>May 9</t>
        </is>
      </c>
      <c r="C19" s="20" t="n">
        <v>0</v>
      </c>
      <c r="D19" s="20" t="n">
        <v>0</v>
      </c>
      <c r="E19" s="20" t="n">
        <v>0</v>
      </c>
      <c r="F19" s="25" t="inlineStr">
        <is>
          <t>did not qualify</t>
        </is>
      </c>
    </row>
    <row r="20" ht="15" customHeight="1" s="14">
      <c r="A20" s="25" t="inlineStr">
        <is>
          <t>PTCS 3</t>
        </is>
      </c>
      <c r="B20" s="20" t="inlineStr">
        <is>
          <t>Jun 6</t>
        </is>
      </c>
      <c r="C20" s="20" t="n">
        <v>1</v>
      </c>
      <c r="D20" s="20" t="n">
        <v>0</v>
      </c>
      <c r="E20" s="20" t="n">
        <v>1</v>
      </c>
      <c r="F20" s="25" t="inlineStr">
        <is>
          <t>1 berth (Diamond) - 65th-128th</t>
        </is>
      </c>
    </row>
    <row r="21" ht="15" customHeight="1" s="14">
      <c r="A21" s="25" t="inlineStr">
        <is>
          <t>PTCS 4</t>
        </is>
      </c>
      <c r="B21" s="20" t="inlineStr">
        <is>
          <t>Jul 11</t>
        </is>
      </c>
      <c r="C21" s="20" t="n">
        <v>20</v>
      </c>
      <c r="D21" s="20" t="n">
        <v>0</v>
      </c>
      <c r="E21" s="20" t="n">
        <v>20</v>
      </c>
      <c r="F21" s="25" t="inlineStr">
        <is>
          <t>1 berth (Diamond) - 9th-16th. BEST PTCS RESULT SO FAR</t>
        </is>
      </c>
    </row>
    <row r="22" ht="15" customHeight="1" s="14">
      <c r="A22" s="25" t="inlineStr">
        <is>
          <t>PTCS 5</t>
        </is>
      </c>
      <c r="B22" s="20" t="inlineStr">
        <is>
          <t>Aug 8</t>
        </is>
      </c>
      <c r="C22" s="20" t="n">
        <v>9</v>
      </c>
      <c r="D22" s="20" t="n">
        <v>5</v>
      </c>
      <c r="E22" s="20" t="n">
        <v>14</v>
      </c>
      <c r="F22" s="25" t="inlineStr">
        <is>
          <t>5 berths - Gold 17-32 (5), Diamond 33-64 (2), Cap + Live 65-128 (1 ea) = 9 tourney; Daily PD 17-32 = 5</t>
        </is>
      </c>
    </row>
    <row r="23" ht="15" customHeight="1" s="14">
      <c r="A23" s="25" t="inlineStr">
        <is>
          <t>TOTAL</t>
        </is>
      </c>
      <c r="B23" s="20" t="n"/>
      <c r="C23" s="20">
        <f>SUM(C18:C22)</f>
        <v/>
      </c>
      <c r="D23" s="20">
        <f>SUM(D18:D22)</f>
        <v/>
      </c>
      <c r="E23" s="20">
        <f>SUM(E18:E22)</f>
        <v/>
      </c>
      <c r="F23" s="25" t="inlineStr">
        <is>
          <t>top 128 of EACH standing makes the PTMS</t>
        </is>
      </c>
    </row>
    <row r="25" ht="15" customHeight="1" s="14">
      <c r="A25" s="23" t="inlineStr">
        <is>
          <t>THE TABLE IS VIOLENTLY CONVEX — BERTHS GET YOU IN, DEPTH GETS YOU POINTS</t>
        </is>
      </c>
    </row>
    <row r="26" ht="15" customHeight="1" s="14">
      <c r="A26" s="24" t="inlineStr">
        <is>
          <t>PTCS 4: ONE berth, finished 9th-16th  -&gt;  20 pts</t>
        </is>
      </c>
    </row>
    <row r="27" ht="15" customHeight="1" s="14">
      <c r="A27" s="24" t="inlineStr">
        <is>
          <t>PTCS 5: FIVE berths, best was 17th-32nd  -&gt;  14 pts</t>
        </is>
      </c>
    </row>
    <row r="28" ht="15" customHeight="1" s="14">
      <c r="A28" s="24" t="inlineStr">
        <is>
          <t xml:space="preserve">   Five times the entries produced FEWER points. The jump from 17th-32nd (5) to 9th-16th (20) is 4x;</t>
        </is>
      </c>
    </row>
    <row r="29" ht="15" customHeight="1" s="14">
      <c r="A29" s="24" t="inlineStr">
        <is>
          <t xml:space="preserve">   9th-16th to 5th-8th is another 2x. A single quarterfinal (40) beats eight 17th-32nd finishes.</t>
        </is>
      </c>
    </row>
    <row r="30" ht="15" customHeight="1" s="14">
      <c r="A30" s="24" t="inlineStr">
        <is>
          <t xml:space="preserve">   Berths are the price of admission. Points come from depth, not breadth.</t>
        </is>
      </c>
    </row>
    <row r="33" ht="15" customHeight="1" s="14">
      <c r="A33" s="23" t="inlineStr">
        <is>
          <t>WHICH WORLD CHAMPIONSHIP YOUR WORK FEEDS</t>
        </is>
      </c>
    </row>
    <row r="34" ht="15" customHeight="1" s="14">
      <c r="A34" s="24" t="inlineStr">
        <is>
          <t>PTWC 1 (Aug 29-30) qualifies from:  League play to Aug 23  +  PT Live pts/50  +  Weekly leaderboard pts to Aug 2  +  PTCS 1-5  +  PTMS 1-2</t>
        </is>
      </c>
    </row>
    <row r="35" ht="15" customHeight="1" s="14">
      <c r="A35" s="24" t="inlineStr">
        <is>
          <t>PTWC 2 (Feb 21-22) qualifies from:  League play Aug 24 on  +  PT Live pts/50  +  Weekly leaderboard pts Aug 4-Jan 31  +  PTCS 6-11  +  PTMS 3-4</t>
        </is>
      </c>
    </row>
    <row r="36" ht="15" customHeight="1" s="14">
      <c r="A36" s="24" t="n"/>
    </row>
    <row r="37" ht="15" customHeight="1" s="14">
      <c r="A37" s="24" t="inlineStr">
        <is>
          <t>&gt;&gt; PTCS 5 was the LAST input to PTWC 1. Everything you score in PTCS 6 feeds PTWC 2 instead.</t>
        </is>
      </c>
    </row>
    <row r="38" ht="15" customHeight="1" s="14">
      <c r="A38" s="24" t="inlineStr">
        <is>
          <t>&gt;&gt; PTMS 2 (Aug 22): DID NOT QUALIFY - neither the 30-pt tournament standing nor the 5-pt PD standing made the top 128.</t>
        </is>
      </c>
    </row>
    <row r="39" ht="15" customHeight="1" s="14">
      <c r="A39" s="24" t="inlineStr">
        <is>
          <t xml:space="preserve">   PTCS 6-11 finishes build the PTMS 3 (Nov 21) / PTMS 4 (Feb 13) standings - that is the PTWC 2 road.</t>
        </is>
      </c>
    </row>
    <row r="40" ht="15" customHeight="1" s="14">
      <c r="A40" s="24" t="n"/>
    </row>
    <row r="41" ht="15" customHeight="1" s="14">
      <c r="A41" s="24" t="inlineStr">
        <is>
          <t>Cap and Live standings points are excluded from PTWC qualifying (no double-dipping) - they always</t>
        </is>
      </c>
    </row>
    <row r="42" ht="15" customHeight="1" s="14">
      <c r="A42" s="24" t="inlineStr">
        <is>
          <t>ride along with a tier. The PTCS Cap and PTCS Live EVENTS are separate berths you actually played,</t>
        </is>
      </c>
    </row>
    <row r="43" ht="15" customHeight="1" s="14">
      <c r="A43" s="24" t="inlineStr">
        <is>
          <t>so they should still count toward the PTMS tournament standing. Worth confirming before relying on it.</t>
        </is>
      </c>
    </row>
    <row r="44" ht="15" customHeight="1" s="14">
      <c r="A44" s="24" t="n"/>
    </row>
    <row r="45" ht="15" customHeight="1" s="14">
      <c r="A45" s="24" t="inlineStr">
        <is>
          <t>Doc inconsistency: page 1 dates PTWC 1 as Aug 29-30, page 3 says Aug 30-31.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2026-09-02T17:23:08Z</dcterms:modified>
  <cp:revision>0</cp:revision>
</cp:coreProperties>
</file>