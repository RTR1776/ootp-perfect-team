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ily Lo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<sst xmlns="http://schemas.openxmlformats.org/spreadsheetml/2006/main" count="65" uniqueCount="56">
  <si>
    <t xml:space="preserve">PTCS 5 Qualifying — Full Tracker (KC Torrent / RTR1776)</t>
  </si>
  <si>
    <t xml:space="preserve">Period Jul 6 - Aug 2 (4 wks). Targets = this period's wk1 128-gain x4, +10% for late-month climb. Qualify = top 128.</t>
  </si>
  <si>
    <t xml:space="preserve">Category</t>
  </si>
  <si>
    <t xml:space="preserve">Wk1 (official)</t>
  </si>
  <si>
    <t xml:space="preserve">Wk1 rank</t>
  </si>
  <si>
    <t xml:space="preserve">Added</t>
  </si>
  <si>
    <t xml:space="preserve">Total</t>
  </si>
  <si>
    <t xml:space="preserve">Target (safe)</t>
  </si>
  <si>
    <t xml:space="preserve">Likely</t>
  </si>
  <si>
    <t xml:space="preserve">Gap</t>
  </si>
  <si>
    <t xml:space="preserve">% there</t>
  </si>
  <si>
    <t xml:space="preserve">Need/wk</t>
  </si>
  <si>
    <t xml:space="preserve">Status</t>
  </si>
  <si>
    <t xml:space="preserve">Diamond</t>
  </si>
  <si>
    <t xml:space="preserve">PDD (D.Draft)</t>
  </si>
  <si>
    <t xml:space="preserve">Live</t>
  </si>
  <si>
    <t xml:space="preserve">Cap</t>
  </si>
  <si>
    <t xml:space="preserve">Gold</t>
  </si>
  <si>
    <t xml:space="preserve">Silver</t>
  </si>
  <si>
    <t xml:space="preserve">—</t>
  </si>
  <si>
    <t xml:space="preserve">Open</t>
  </si>
  <si>
    <t xml:space="preserve">Iron</t>
  </si>
  <si>
    <t xml:space="preserve">W. Draft</t>
  </si>
  <si>
    <t xml:space="preserve">Weekly (T)</t>
  </si>
  <si>
    <t xml:space="preserve">Notes</t>
  </si>
  <si>
    <t xml:space="preserve">• Week 1 seeded from OFFICIAL wk18 standings (ground truth). Daily Log covers weeks 2-4.</t>
  </si>
  <si>
    <t xml:space="preserve">• Diamond CLEARED. PDD 84% - nearly done, then pivot to Weekly PD.</t>
  </si>
  <si>
    <t xml:space="preserve">• Gold turning around fast (18%-&gt;43% in 3 days). Daily Early Gold (128-team) is the best payer - prioritize it.</t>
  </si>
  <si>
    <t xml:space="preserve">• Live is drifting - swap daily drafts to the LIVE variants (Live Breakfast/Speed Run/All Night); feeds Live + PDD together.</t>
  </si>
  <si>
    <t xml:space="preserve">• Cap needs another Winner-type finish in a Diamond+Cap or Gold+Cap game.</t>
  </si>
  <si>
    <t xml:space="preserve">• 'Need/wk' assumes ~1.9 weeks remaining to Aug 2.</t>
  </si>
  <si>
    <t xml:space="preserve">PTCS 5 — Daily Log (weeks 2-4). Week 1 locked from official standings.</t>
  </si>
  <si>
    <t xml:space="preserve">Points earned per day from Jul 13 onward.</t>
  </si>
  <si>
    <t xml:space="preserve">Date</t>
  </si>
  <si>
    <t xml:space="preserve">Day</t>
  </si>
  <si>
    <t xml:space="preserve">PDD</t>
  </si>
  <si>
    <t xml:space="preserve">W.Draft</t>
  </si>
  <si>
    <t xml:space="preserve">Weekly</t>
  </si>
  <si>
    <t xml:space="preserve">Mon Jul 13</t>
  </si>
  <si>
    <t xml:space="preserve">Mon</t>
  </si>
  <si>
    <t xml:space="preserve">wk2 start; Good Orderly 3/4 +10 PDD</t>
  </si>
  <si>
    <t xml:space="preserve">Tue Jul 14</t>
  </si>
  <si>
    <t xml:space="preserve">Tue</t>
  </si>
  <si>
    <t xml:space="preserve">Laptophound 2nd +20 PDD; DontForget 3/4 +10 L</t>
  </si>
  <si>
    <t xml:space="preserve">Wed Jul 15</t>
  </si>
  <si>
    <t xml:space="preserve">Wed</t>
  </si>
  <si>
    <t xml:space="preserve">Diamond Slots WINNER = +25 Cap</t>
  </si>
  <si>
    <t xml:space="preserve">Thu Jul 16</t>
  </si>
  <si>
    <t xml:space="preserve">Thu</t>
  </si>
  <si>
    <t xml:space="preserve">Busy 2nd +15 PDD; D&amp;Friends 9-16 +3 Cap</t>
  </si>
  <si>
    <t xml:space="preserve">Fri Jul 17</t>
  </si>
  <si>
    <t xml:space="preserve">Fri</t>
  </si>
  <si>
    <t xml:space="preserve">Gold day: Golden Heart 5-8, Goldfather 9-16, Early Gold 9-16</t>
  </si>
  <si>
    <t xml:space="preserve">Sat Jul 18</t>
  </si>
  <si>
    <t xml:space="preserve">Sat</t>
  </si>
  <si>
    <t xml:space="preserve">Diamond Heart 2nd +20; Tuck &amp; Rise 2nds +30 PDD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</si>
</sst>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0"/>
      <color rgb="FF888888"/>
      <name val="Arial"/>
      <family val="0"/>
      <charset val="1"/>
    </font>
    <font>
      <sz val="11"/>
      <color rgb="FF777777"/>
      <name val="Arial"/>
      <family val="0"/>
      <charset val="1"/>
    </font>
    <font>
      <b val="true"/>
      <sz val="12"/>
      <name val="Arial"/>
      <family val="0"/>
      <charset val="1"/>
    </font>
    <font>
      <sz val="10"/>
      <color rgb="FF44444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B57"/>
        <bgColor rgb="FF444444"/>
      </patternFill>
    </fill>
    <fill>
      <patternFill patternType="solid">
        <fgColor rgb="FFF2F4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2F4F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777777"/>
      <rgbColor rgb="FF1F3B57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3"/>
    <col collapsed="false" customWidth="true" hidden="false" outlineLevel="0" max="3" min="3" style="0" width="9"/>
    <col collapsed="false" customWidth="true" hidden="false" outlineLevel="0" max="5" min="4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7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16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4" t="s">
        <v>13</v>
      </c>
      <c r="B5" s="5" t="n">
        <v>115</v>
      </c>
      <c r="C5" s="6" t="n">
        <v>6</v>
      </c>
      <c r="D5" s="5" t="n">
        <f aca="false">SUM('Daily Log'!C5:C34)</f>
        <v>54</v>
      </c>
      <c r="E5" s="7" t="n">
        <f aca="false">B5+D5</f>
        <v>169</v>
      </c>
      <c r="F5" s="5" t="n">
        <v>84</v>
      </c>
      <c r="G5" s="6" t="n">
        <v>76</v>
      </c>
      <c r="H5" s="5" t="n">
        <f aca="false">MAX(0,F5-E5)</f>
        <v>0</v>
      </c>
      <c r="I5" s="8" t="n">
        <f aca="false">E5/F5</f>
        <v>2.01190476190476</v>
      </c>
      <c r="J5" s="5" t="n">
        <f aca="false">ROUND(H5/1.9,0)</f>
        <v>0</v>
      </c>
      <c r="K5" s="9" t="str">
        <f aca="false">IF(E5&gt;=F5,"CLEARED","+"&amp;TEXT(H5,"0")&amp;" to go")</f>
        <v>CLEARED</v>
      </c>
    </row>
    <row r="6" customFormat="false" ht="15" hidden="false" customHeight="false" outlineLevel="0" collapsed="false">
      <c r="A6" s="4" t="s">
        <v>14</v>
      </c>
      <c r="B6" s="5" t="n">
        <v>129</v>
      </c>
      <c r="C6" s="6" t="n">
        <v>29</v>
      </c>
      <c r="D6" s="5" t="n">
        <f aca="false">SUM('Daily Log'!H5:H34)</f>
        <v>137</v>
      </c>
      <c r="E6" s="7" t="n">
        <f aca="false">B6+D6</f>
        <v>266</v>
      </c>
      <c r="F6" s="5" t="n">
        <v>317</v>
      </c>
      <c r="G6" s="6" t="n">
        <v>288</v>
      </c>
      <c r="H6" s="5" t="n">
        <f aca="false">MAX(0,F6-E6)</f>
        <v>51</v>
      </c>
      <c r="I6" s="8" t="n">
        <f aca="false">E6/F6</f>
        <v>0.839116719242902</v>
      </c>
      <c r="J6" s="5" t="n">
        <f aca="false">ROUND(H6/1.9,0)</f>
        <v>27</v>
      </c>
      <c r="K6" s="9" t="str">
        <f aca="false">IF(E6&gt;=F6,"CLEARED","+"&amp;TEXT(H6,"0")&amp;" to go")</f>
        <v>+51 to go</v>
      </c>
    </row>
    <row r="7" customFormat="false" ht="15" hidden="false" customHeight="false" outlineLevel="0" collapsed="false">
      <c r="A7" s="4" t="s">
        <v>15</v>
      </c>
      <c r="B7" s="5" t="n">
        <v>50</v>
      </c>
      <c r="C7" s="6" t="n">
        <v>79</v>
      </c>
      <c r="D7" s="5" t="n">
        <f aca="false">SUM('Daily Log'!D5:D34)</f>
        <v>22</v>
      </c>
      <c r="E7" s="7" t="n">
        <f aca="false">B7+D7</f>
        <v>72</v>
      </c>
      <c r="F7" s="5" t="n">
        <v>154</v>
      </c>
      <c r="G7" s="6" t="n">
        <v>140</v>
      </c>
      <c r="H7" s="5" t="n">
        <f aca="false">MAX(0,F7-E7)</f>
        <v>82</v>
      </c>
      <c r="I7" s="8" t="n">
        <f aca="false">E7/F7</f>
        <v>0.467532467532468</v>
      </c>
      <c r="J7" s="5" t="n">
        <f aca="false">ROUND(H7/1.9,0)</f>
        <v>43</v>
      </c>
      <c r="K7" s="9" t="str">
        <f aca="false">IF(E7&gt;=F7,"CLEARED","+"&amp;TEXT(H7,"0")&amp;" to go")</f>
        <v>+82 to go</v>
      </c>
    </row>
    <row r="8" customFormat="false" ht="15" hidden="false" customHeight="false" outlineLevel="0" collapsed="false">
      <c r="A8" s="4" t="s">
        <v>16</v>
      </c>
      <c r="B8" s="5" t="n">
        <v>20</v>
      </c>
      <c r="C8" s="6" t="n">
        <v>197</v>
      </c>
      <c r="D8" s="5" t="n">
        <f aca="false">SUM('Daily Log'!E5:E34)</f>
        <v>34</v>
      </c>
      <c r="E8" s="7" t="n">
        <f aca="false">B8+D8</f>
        <v>54</v>
      </c>
      <c r="F8" s="5" t="n">
        <v>158</v>
      </c>
      <c r="G8" s="6" t="n">
        <v>144</v>
      </c>
      <c r="H8" s="5" t="n">
        <f aca="false">MAX(0,F8-E8)</f>
        <v>104</v>
      </c>
      <c r="I8" s="8" t="n">
        <f aca="false">E8/F8</f>
        <v>0.341772151898734</v>
      </c>
      <c r="J8" s="5" t="n">
        <f aca="false">ROUND(H8/1.9,0)</f>
        <v>55</v>
      </c>
      <c r="K8" s="9" t="str">
        <f aca="false">IF(E8&gt;=F8,"CLEARED","+"&amp;TEXT(H8,"0")&amp;" to go")</f>
        <v>+104 to go</v>
      </c>
    </row>
    <row r="9" customFormat="false" ht="15" hidden="false" customHeight="false" outlineLevel="0" collapsed="false">
      <c r="A9" s="4" t="s">
        <v>17</v>
      </c>
      <c r="B9" s="5" t="n">
        <v>4</v>
      </c>
      <c r="C9" s="6" t="n">
        <v>388</v>
      </c>
      <c r="D9" s="5" t="n">
        <f aca="false">SUM('Daily Log'!F5:F34)</f>
        <v>38</v>
      </c>
      <c r="E9" s="7" t="n">
        <f aca="false">B9+D9</f>
        <v>42</v>
      </c>
      <c r="F9" s="5" t="n">
        <v>97</v>
      </c>
      <c r="G9" s="6" t="n">
        <v>88</v>
      </c>
      <c r="H9" s="5" t="n">
        <f aca="false">MAX(0,F9-E9)</f>
        <v>55</v>
      </c>
      <c r="I9" s="8" t="n">
        <f aca="false">E9/F9</f>
        <v>0.43298969072165</v>
      </c>
      <c r="J9" s="5" t="n">
        <f aca="false">ROUND(H9/1.9,0)</f>
        <v>29</v>
      </c>
      <c r="K9" s="9" t="str">
        <f aca="false">IF(E9&gt;=F9,"CLEARED","+"&amp;TEXT(H9,"0")&amp;" to go")</f>
        <v>+55 to go</v>
      </c>
    </row>
    <row r="10" customFormat="false" ht="15" hidden="false" customHeight="false" outlineLevel="0" collapsed="false">
      <c r="A10" s="4" t="s">
        <v>18</v>
      </c>
      <c r="B10" s="5" t="n">
        <v>0</v>
      </c>
      <c r="C10" s="6" t="s">
        <v>19</v>
      </c>
      <c r="D10" s="5" t="n">
        <f aca="false">SUM('Daily Log'!G5:G34)</f>
        <v>0</v>
      </c>
      <c r="E10" s="7" t="n">
        <f aca="false">B10+D10</f>
        <v>0</v>
      </c>
      <c r="F10" s="5" t="n">
        <v>119</v>
      </c>
      <c r="G10" s="6" t="n">
        <v>108</v>
      </c>
      <c r="H10" s="5" t="n">
        <f aca="false">MAX(0,F10-E10)</f>
        <v>119</v>
      </c>
      <c r="I10" s="8" t="n">
        <f aca="false">E10/F10</f>
        <v>0</v>
      </c>
      <c r="J10" s="5" t="n">
        <f aca="false">ROUND(H10/1.9,0)</f>
        <v>63</v>
      </c>
      <c r="K10" s="9" t="str">
        <f aca="false">IF(E10&gt;=F10,"CLEARED","+"&amp;TEXT(H10,"0")&amp;" to go")</f>
        <v>+119 to go</v>
      </c>
    </row>
    <row r="11" customFormat="false" ht="15" hidden="false" customHeight="false" outlineLevel="0" collapsed="false">
      <c r="A11" s="10" t="s">
        <v>20</v>
      </c>
      <c r="B11" s="11" t="n">
        <v>1</v>
      </c>
      <c r="C11" s="12" t="n">
        <v>500</v>
      </c>
      <c r="D11" s="11" t="n">
        <f aca="false">SUM('Daily Log'!I5:I34)</f>
        <v>0</v>
      </c>
      <c r="E11" s="13" t="n">
        <f aca="false">B11+D11</f>
        <v>1</v>
      </c>
      <c r="F11" s="11" t="n">
        <v>114</v>
      </c>
      <c r="G11" s="12" t="n">
        <v>104</v>
      </c>
      <c r="H11" s="11" t="n">
        <f aca="false">MAX(0,F11-E11)</f>
        <v>113</v>
      </c>
      <c r="I11" s="14" t="n">
        <f aca="false">E11/F11</f>
        <v>0.0087719298245614</v>
      </c>
      <c r="J11" s="11" t="n">
        <f aca="false">ROUND(H11/1.9,0)</f>
        <v>59</v>
      </c>
      <c r="K11" s="15" t="str">
        <f aca="false">IF(E11&gt;=F11,"CLEARED","+"&amp;TEXT(H11,"0")&amp;" to go")</f>
        <v>+113 to go</v>
      </c>
    </row>
    <row r="12" customFormat="false" ht="15" hidden="false" customHeight="false" outlineLevel="0" collapsed="false">
      <c r="A12" s="10" t="s">
        <v>21</v>
      </c>
      <c r="B12" s="11" t="n">
        <v>0</v>
      </c>
      <c r="C12" s="12" t="s">
        <v>19</v>
      </c>
      <c r="D12" s="11" t="n">
        <f aca="false">SUM('Daily Log'!J5:J34)</f>
        <v>0</v>
      </c>
      <c r="E12" s="13" t="n">
        <f aca="false">B12+D12</f>
        <v>0</v>
      </c>
      <c r="F12" s="11" t="n">
        <v>128</v>
      </c>
      <c r="G12" s="12" t="n">
        <v>116</v>
      </c>
      <c r="H12" s="11" t="n">
        <f aca="false">MAX(0,F12-E12)</f>
        <v>128</v>
      </c>
      <c r="I12" s="14" t="n">
        <f aca="false">E12/F12</f>
        <v>0</v>
      </c>
      <c r="J12" s="11" t="n">
        <f aca="false">ROUND(H12/1.9,0)</f>
        <v>67</v>
      </c>
      <c r="K12" s="15" t="str">
        <f aca="false">IF(E12&gt;=F12,"CLEARED","+"&amp;TEXT(H12,"0")&amp;" to go")</f>
        <v>+128 to go</v>
      </c>
    </row>
    <row r="13" customFormat="false" ht="15" hidden="false" customHeight="false" outlineLevel="0" collapsed="false">
      <c r="A13" s="10" t="s">
        <v>22</v>
      </c>
      <c r="B13" s="11" t="n">
        <v>0</v>
      </c>
      <c r="C13" s="12" t="n">
        <v>789</v>
      </c>
      <c r="D13" s="11" t="n">
        <f aca="false">SUM('Daily Log'!K5:K34)</f>
        <v>0</v>
      </c>
      <c r="E13" s="13" t="n">
        <f aca="false">B13+D13</f>
        <v>0</v>
      </c>
      <c r="F13" s="11" t="n">
        <v>92</v>
      </c>
      <c r="G13" s="12" t="n">
        <v>84</v>
      </c>
      <c r="H13" s="11" t="n">
        <f aca="false">MAX(0,F13-E13)</f>
        <v>92</v>
      </c>
      <c r="I13" s="14" t="n">
        <f aca="false">E13/F13</f>
        <v>0</v>
      </c>
      <c r="J13" s="11" t="n">
        <f aca="false">ROUND(H13/1.9,0)</f>
        <v>48</v>
      </c>
      <c r="K13" s="15" t="str">
        <f aca="false">IF(E13&gt;=F13,"CLEARED","+"&amp;TEXT(H13,"0")&amp;" to go")</f>
        <v>+92 to go</v>
      </c>
    </row>
    <row r="14" customFormat="false" ht="15" hidden="false" customHeight="false" outlineLevel="0" collapsed="false">
      <c r="A14" s="10" t="s">
        <v>23</v>
      </c>
      <c r="B14" s="11" t="n">
        <v>7</v>
      </c>
      <c r="C14" s="12" t="n">
        <v>249</v>
      </c>
      <c r="D14" s="11" t="n">
        <f aca="false">SUM('Daily Log'!L5:L34)</f>
        <v>0</v>
      </c>
      <c r="E14" s="13" t="n">
        <f aca="false">B14+D14</f>
        <v>7</v>
      </c>
      <c r="F14" s="11" t="n">
        <v>75</v>
      </c>
      <c r="G14" s="12" t="n">
        <v>68</v>
      </c>
      <c r="H14" s="11" t="n">
        <f aca="false">MAX(0,F14-E14)</f>
        <v>68</v>
      </c>
      <c r="I14" s="14" t="n">
        <f aca="false">E14/F14</f>
        <v>0.0933333333333333</v>
      </c>
      <c r="J14" s="11" t="n">
        <f aca="false">ROUND(H14/1.9,0)</f>
        <v>36</v>
      </c>
      <c r="K14" s="15" t="str">
        <f aca="false">IF(E14&gt;=F14,"CLEARED","+"&amp;TEXT(H14,"0")&amp;" to go")</f>
        <v>+68 to go</v>
      </c>
    </row>
    <row r="16" customFormat="false" ht="15" hidden="false" customHeight="false" outlineLevel="0" collapsed="false">
      <c r="A16" s="16" t="s">
        <v>24</v>
      </c>
    </row>
    <row r="17" customFormat="false" ht="15" hidden="false" customHeight="false" outlineLevel="0" collapsed="false">
      <c r="A17" s="17" t="s">
        <v>25</v>
      </c>
    </row>
    <row r="18" customFormat="false" ht="15" hidden="false" customHeight="false" outlineLevel="0" collapsed="false">
      <c r="A18" s="17" t="s">
        <v>26</v>
      </c>
    </row>
    <row r="19" customFormat="false" ht="15" hidden="false" customHeight="false" outlineLevel="0" collapsed="false">
      <c r="A19" s="17" t="s">
        <v>27</v>
      </c>
    </row>
    <row r="20" customFormat="false" ht="15" hidden="false" customHeight="false" outlineLevel="0" collapsed="false">
      <c r="A20" s="17" t="s">
        <v>28</v>
      </c>
    </row>
    <row r="21" customFormat="false" ht="15" hidden="false" customHeight="false" outlineLevel="0" collapsed="false">
      <c r="A21" s="17" t="s">
        <v>29</v>
      </c>
    </row>
    <row r="22" customFormat="false" ht="15" hidden="false" customHeight="false" outlineLevel="0" collapsed="false">
      <c r="A22" s="17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"/>
    <col collapsed="false" customWidth="true" hidden="false" outlineLevel="0" max="3" min="3" style="0" width="9"/>
    <col collapsed="false" customWidth="true" hidden="false" outlineLevel="0" max="10" min="4" style="0" width="8"/>
    <col collapsed="false" customWidth="true" hidden="false" outlineLevel="0" max="12" min="11" style="0" width="9"/>
    <col collapsed="false" customWidth="true" hidden="false" outlineLevel="0" max="13" min="13" style="0" width="42"/>
  </cols>
  <sheetData>
    <row r="1" customFormat="false" ht="18.55" hidden="false" customHeight="false" outlineLevel="0" collapsed="false">
      <c r="A1" s="1" t="s">
        <v>31</v>
      </c>
    </row>
    <row r="2" customFormat="false" ht="15" hidden="false" customHeight="false" outlineLevel="0" collapsed="false">
      <c r="A2" s="2" t="s">
        <v>32</v>
      </c>
    </row>
    <row r="4" customFormat="false" ht="15" hidden="false" customHeight="false" outlineLevel="0" collapsed="false">
      <c r="A4" s="3" t="s">
        <v>33</v>
      </c>
      <c r="B4" s="3" t="s">
        <v>34</v>
      </c>
      <c r="C4" s="3" t="s">
        <v>13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35</v>
      </c>
      <c r="I4" s="3" t="s">
        <v>20</v>
      </c>
      <c r="J4" s="3" t="s">
        <v>21</v>
      </c>
      <c r="K4" s="3" t="s">
        <v>36</v>
      </c>
      <c r="L4" s="3" t="s">
        <v>37</v>
      </c>
      <c r="M4" s="3" t="s">
        <v>24</v>
      </c>
    </row>
    <row r="5" customFormat="false" ht="15" hidden="false" customHeight="false" outlineLevel="0" collapsed="false">
      <c r="A5" s="18" t="s">
        <v>38</v>
      </c>
      <c r="B5" s="18" t="s">
        <v>39</v>
      </c>
      <c r="C5" s="5" t="n">
        <v>3</v>
      </c>
      <c r="D5" s="5" t="n">
        <v>0</v>
      </c>
      <c r="E5" s="5" t="n">
        <v>4</v>
      </c>
      <c r="F5" s="5" t="n">
        <v>7</v>
      </c>
      <c r="G5" s="5" t="n">
        <v>0</v>
      </c>
      <c r="H5" s="5" t="n">
        <v>26</v>
      </c>
      <c r="I5" s="5" t="n">
        <v>0</v>
      </c>
      <c r="J5" s="5" t="n">
        <v>0</v>
      </c>
      <c r="K5" s="5" t="n">
        <v>0</v>
      </c>
      <c r="L5" s="5" t="n">
        <v>0</v>
      </c>
      <c r="M5" s="18" t="s">
        <v>40</v>
      </c>
    </row>
    <row r="6" customFormat="false" ht="15" hidden="false" customHeight="false" outlineLevel="0" collapsed="false">
      <c r="A6" s="18" t="s">
        <v>41</v>
      </c>
      <c r="B6" s="18" t="s">
        <v>42</v>
      </c>
      <c r="C6" s="5" t="n">
        <v>0</v>
      </c>
      <c r="D6" s="5" t="n">
        <v>14</v>
      </c>
      <c r="E6" s="5" t="n">
        <v>0</v>
      </c>
      <c r="F6" s="5" t="n">
        <v>1</v>
      </c>
      <c r="G6" s="5" t="n">
        <v>0</v>
      </c>
      <c r="H6" s="5" t="n">
        <v>34</v>
      </c>
      <c r="I6" s="5" t="n">
        <v>0</v>
      </c>
      <c r="J6" s="5" t="n">
        <v>0</v>
      </c>
      <c r="K6" s="5" t="n">
        <v>0</v>
      </c>
      <c r="L6" s="5" t="n">
        <v>0</v>
      </c>
      <c r="M6" s="18" t="s">
        <v>43</v>
      </c>
    </row>
    <row r="7" customFormat="false" ht="15" hidden="false" customHeight="false" outlineLevel="0" collapsed="false">
      <c r="A7" s="18" t="s">
        <v>44</v>
      </c>
      <c r="B7" s="18" t="s">
        <v>45</v>
      </c>
      <c r="C7" s="5" t="n">
        <v>25</v>
      </c>
      <c r="D7" s="5" t="n">
        <v>6</v>
      </c>
      <c r="E7" s="5" t="n">
        <v>26</v>
      </c>
      <c r="F7" s="5" t="n">
        <v>3</v>
      </c>
      <c r="G7" s="5" t="n">
        <v>0</v>
      </c>
      <c r="H7" s="5" t="n">
        <v>21</v>
      </c>
      <c r="I7" s="5" t="n">
        <v>0</v>
      </c>
      <c r="J7" s="5" t="n">
        <v>0</v>
      </c>
      <c r="K7" s="5" t="n">
        <v>0</v>
      </c>
      <c r="L7" s="5" t="n">
        <v>0</v>
      </c>
      <c r="M7" s="18" t="s">
        <v>46</v>
      </c>
    </row>
    <row r="8" customFormat="false" ht="15" hidden="false" customHeight="false" outlineLevel="0" collapsed="false">
      <c r="A8" s="18" t="s">
        <v>47</v>
      </c>
      <c r="B8" s="18" t="s">
        <v>48</v>
      </c>
      <c r="C8" s="5" t="n">
        <v>6</v>
      </c>
      <c r="D8" s="5" t="n">
        <v>1</v>
      </c>
      <c r="E8" s="5" t="n">
        <v>4</v>
      </c>
      <c r="F8" s="5" t="n">
        <v>2</v>
      </c>
      <c r="G8" s="5" t="n">
        <v>0</v>
      </c>
      <c r="H8" s="5" t="n">
        <v>24</v>
      </c>
      <c r="I8" s="5" t="n">
        <v>0</v>
      </c>
      <c r="J8" s="5" t="n">
        <v>0</v>
      </c>
      <c r="K8" s="5" t="n">
        <v>0</v>
      </c>
      <c r="L8" s="5" t="n">
        <v>0</v>
      </c>
      <c r="M8" s="18" t="s">
        <v>49</v>
      </c>
    </row>
    <row r="9" customFormat="false" ht="15" hidden="false" customHeight="false" outlineLevel="0" collapsed="false">
      <c r="A9" s="18" t="s">
        <v>50</v>
      </c>
      <c r="B9" s="18" t="s">
        <v>51</v>
      </c>
      <c r="C9" s="5" t="n">
        <v>0</v>
      </c>
      <c r="D9" s="5" t="n">
        <v>1</v>
      </c>
      <c r="E9" s="5" t="n">
        <v>0</v>
      </c>
      <c r="F9" s="5" t="n">
        <v>15</v>
      </c>
      <c r="G9" s="5" t="n">
        <v>0</v>
      </c>
      <c r="H9" s="5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18" t="s">
        <v>52</v>
      </c>
    </row>
    <row r="10" customFormat="false" ht="15" hidden="false" customHeight="false" outlineLevel="0" collapsed="false">
      <c r="A10" s="18" t="s">
        <v>53</v>
      </c>
      <c r="B10" s="18" t="s">
        <v>54</v>
      </c>
      <c r="C10" s="5" t="n">
        <v>20</v>
      </c>
      <c r="D10" s="5" t="n">
        <v>0</v>
      </c>
      <c r="E10" s="5" t="n">
        <v>0</v>
      </c>
      <c r="F10" s="5" t="n">
        <v>10</v>
      </c>
      <c r="G10" s="5" t="n">
        <v>0</v>
      </c>
      <c r="H10" s="5" t="n">
        <v>31</v>
      </c>
      <c r="I10" s="5" t="n">
        <v>0</v>
      </c>
      <c r="J10" s="5" t="n">
        <v>0</v>
      </c>
      <c r="K10" s="5" t="n">
        <v>0</v>
      </c>
      <c r="L10" s="5" t="n">
        <v>0</v>
      </c>
      <c r="M10" s="18" t="s">
        <v>55</v>
      </c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</row>
    <row r="14" customFormat="false" ht="15" hidden="false" customHeight="false" outlineLevel="0" collapsed="false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</row>
    <row r="26" customFormat="false" ht="15" hidden="false" customHeight="false" outlineLevel="0" collapsed="false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</row>
    <row r="28" customFormat="false" ht="15" hidden="false" customHeight="false" outlineLevel="0" collapsed="false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</row>
    <row r="31" customFormat="false" ht="15" hidden="false" customHeight="false" outlineLevel="0" collapsed="false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</row>
    <row r="32" customFormat="false" ht="15" hidden="false" customHeight="false" outlineLevel="0" collapsed="false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</row>
    <row r="33" customFormat="false" ht="15" hidden="false" customHeight="false" outlineLevel="0" collapsed="false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</row>
    <row r="34" customFormat="false" ht="15" hidden="false" customHeight="false" outlineLevel="0" collapsed="false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2026-07-19T01:59:27Z</dcterms:created>
  <dc:creator>openpyxl</dc:creator>
  <dc:description/>
  <dc:language>en-US</dc:language>
  <cp:lastModifiedBy/>
  <dcterms:modified xsi:type="dcterms:W3CDTF">2026-07-19T01:59:27Z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